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eals" sheetId="2" state="visible" r:id="rId4"/>
    <sheet name="FX" sheetId="3" state="visible" r:id="rId5"/>
    <sheet name="Sovereign Greenium" sheetId="4" state="visible" r:id="rId6"/>
    <sheet name="About" sheetId="5" state="visible" r:id="rId7"/>
  </sheets>
  <definedNames>
    <definedName function="false" hidden="true" localSheetId="1" name="_xlnm._FilterDatabase" vbProcedure="false">Deals!$A$1:$R$41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<sst xmlns="http://schemas.openxmlformats.org/spreadsheetml/2006/main" count="423" uniqueCount="229">
  <si>
    <t xml:space="preserve">India Green Bond &amp; ESG Loan Tracker</t>
  </si>
  <si>
    <t xml:space="preserve">Labelled green, ESG and sustainability-linked debt by Indian issuers, Jan 2023 - Oct 2026. Totals count completed deals (Priced, Signed, Devolved) in USD mn at FX-sheet rates.</t>
  </si>
  <si>
    <t xml:space="preserve">Completed deals</t>
  </si>
  <si>
    <t xml:space="preserve">Total raised (USD mn)</t>
  </si>
  <si>
    <t xml:space="preserve">Total raised (INR crore)</t>
  </si>
  <si>
    <t xml:space="preserve">Largest completed deal (USD mn)</t>
  </si>
  <si>
    <t xml:space="preserve">Sovereign green bonds outstanding (INR bn, Aug 2026)</t>
  </si>
  <si>
    <t xml:space="preserve">Source: Reuters via Business Recorder, 14 Aug 2026</t>
  </si>
  <si>
    <t xml:space="preserve">By instrument</t>
  </si>
  <si>
    <t xml:space="preserve">Deals</t>
  </si>
  <si>
    <t xml:space="preserve">USD mn</t>
  </si>
  <si>
    <t xml:space="preserve">Share</t>
  </si>
  <si>
    <t xml:space="preserve">Green bond</t>
  </si>
  <si>
    <t xml:space="preserve">ESG bond</t>
  </si>
  <si>
    <t xml:space="preserve">Sustainability-linked bond</t>
  </si>
  <si>
    <t xml:space="preserve">Green loan</t>
  </si>
  <si>
    <t xml:space="preserve">Sustainability-linked loan</t>
  </si>
  <si>
    <t xml:space="preserve">Total</t>
  </si>
  <si>
    <t xml:space="preserve">By issuer type</t>
  </si>
  <si>
    <t xml:space="preserve">Sovereign</t>
  </si>
  <si>
    <t xml:space="preserve">PSU NBFC</t>
  </si>
  <si>
    <t xml:space="preserve">Bank</t>
  </si>
  <si>
    <t xml:space="preserve">Corporate</t>
  </si>
  <si>
    <t xml:space="preserve">Municipal</t>
  </si>
  <si>
    <t xml:space="preserve">By year</t>
  </si>
  <si>
    <t xml:space="preserve">Deal ID</t>
  </si>
  <si>
    <t xml:space="preserve">Date</t>
  </si>
  <si>
    <t xml:space="preserve">Issuer / borrower</t>
  </si>
  <si>
    <t xml:space="preserve">Issuer type</t>
  </si>
  <si>
    <t xml:space="preserve">Sector</t>
  </si>
  <si>
    <t xml:space="preserve">Instrument</t>
  </si>
  <si>
    <t xml:space="preserve">Green label</t>
  </si>
  <si>
    <t xml:space="preserve">Currency</t>
  </si>
  <si>
    <t xml:space="preserve">Amount (mn, deal ccy)</t>
  </si>
  <si>
    <t xml:space="preserve">INR crore</t>
  </si>
  <si>
    <t xml:space="preserve">Year</t>
  </si>
  <si>
    <t xml:space="preserve">Tenor (yrs)</t>
  </si>
  <si>
    <t xml:space="preserve">Pricing</t>
  </si>
  <si>
    <t xml:space="preserve">Lenders / investors</t>
  </si>
  <si>
    <t xml:space="preserve">Use of proceeds / KPIs</t>
  </si>
  <si>
    <t xml:space="preserve">Status</t>
  </si>
  <si>
    <t xml:space="preserve">Source</t>
  </si>
  <si>
    <t xml:space="preserve">SOV-2301</t>
  </si>
  <si>
    <t xml:space="preserve">Government of India</t>
  </si>
  <si>
    <t xml:space="preserve">Government</t>
  </si>
  <si>
    <t xml:space="preserve">Confirmed</t>
  </si>
  <si>
    <t xml:space="preserve">INR</t>
  </si>
  <si>
    <t xml:space="preserve">5 &amp; 10</t>
  </si>
  <si>
    <t xml:space="preserve">7.10% (5y) / 7.29% (10y)</t>
  </si>
  <si>
    <t xml:space="preserve">RBI auction</t>
  </si>
  <si>
    <t xml:space="preserve">Debut sovereign green bonds; two tranches; eligible green expenditure under India's Sovereign Green Bond Framework</t>
  </si>
  <si>
    <t xml:space="preserve">Priced</t>
  </si>
  <si>
    <t xml:space="preserve">Link</t>
  </si>
  <si>
    <t xml:space="preserve">SBI-2401</t>
  </si>
  <si>
    <t xml:space="preserve">State Bank of India</t>
  </si>
  <si>
    <t xml:space="preserve">Banking</t>
  </si>
  <si>
    <t xml:space="preserve">USD</t>
  </si>
  <si>
    <t xml:space="preserve">5</t>
  </si>
  <si>
    <t xml:space="preserve">SOFR + 120 bps (floating)</t>
  </si>
  <si>
    <t xml:space="preserve">Private placement via SBI London; MUFG sole green coordinator</t>
  </si>
  <si>
    <t xml:space="preserve">Senior unsecured green FRNs maturing Dec 2028; listed India INX; S&amp;P BBB-</t>
  </si>
  <si>
    <t xml:space="preserve">TCM-2406</t>
  </si>
  <si>
    <t xml:space="preserve">Tata Communications</t>
  </si>
  <si>
    <t xml:space="preserve">Telecom</t>
  </si>
  <si>
    <t xml:space="preserve">Margin ratchet on carbon KPIs</t>
  </si>
  <si>
    <t xml:space="preserve">DBS; ANZ; Export Development Canada</t>
  </si>
  <si>
    <t xml:space="preserve">KPIs: carbon emission reduction targets supporting net zero by 2035</t>
  </si>
  <si>
    <t xml:space="preserve">Signed</t>
  </si>
  <si>
    <t xml:space="preserve">ZEL-2409</t>
  </si>
  <si>
    <t xml:space="preserve">Zelestra</t>
  </si>
  <si>
    <t xml:space="preserve">Renewable energy</t>
  </si>
  <si>
    <t xml:space="preserve">EUR</t>
  </si>
  <si>
    <t xml:space="preserve">HSBC; Credit Agricole; MUFG; Bank of America</t>
  </si>
  <si>
    <t xml:space="preserve">435 MW solar PV (Gorbea; Rajasthan) under Green Financing Framework</t>
  </si>
  <si>
    <t xml:space="preserve">AXS-2409</t>
  </si>
  <si>
    <t xml:space="preserve">Axis Bank</t>
  </si>
  <si>
    <t xml:space="preserve">IFC</t>
  </si>
  <si>
    <t xml:space="preserve">Green and blue finance: offshore renewables; water and waste management</t>
  </si>
  <si>
    <t xml:space="preserve">REC-2409</t>
  </si>
  <si>
    <t xml:space="preserve">REC Ltd</t>
  </si>
  <si>
    <t xml:space="preserve">Power finance</t>
  </si>
  <si>
    <t xml:space="preserve">4.75% fixed</t>
  </si>
  <si>
    <t xml:space="preserve">International investors</t>
  </si>
  <si>
    <t xml:space="preserve">Eligible green projects under REC Green Finance Framework (CBI-aligned; Sustainable Fitch SPO); listed India INX and NSE IFSC; Baa3/BBB</t>
  </si>
  <si>
    <t xml:space="preserve">PFC-2501</t>
  </si>
  <si>
    <t xml:space="preserve">Power Finance Corporation</t>
  </si>
  <si>
    <t xml:space="preserve">JPY</t>
  </si>
  <si>
    <t xml:space="preserve">JBIC (JPY 72 bn) + commercial banks</t>
  </si>
  <si>
    <t xml:space="preserve">JBIC GREEN initiative: projects reducing GHG emissions</t>
  </si>
  <si>
    <t xml:space="preserve">JKT-2501</t>
  </si>
  <si>
    <t xml:space="preserve">JK Tyre &amp; Industries</t>
  </si>
  <si>
    <t xml:space="preserve">Auto components</t>
  </si>
  <si>
    <t xml:space="preserve">PCR/TBR tyre capacity at Banmore (MP) and Laksar (UK); India's first tyre-industry SLL; KPIs not disclosed</t>
  </si>
  <si>
    <t xml:space="preserve">SOV-2501</t>
  </si>
  <si>
    <t xml:space="preserve">10</t>
  </si>
  <si>
    <t xml:space="preserve">Primary dealers (devolvement)</t>
  </si>
  <si>
    <t xml:space="preserve">10-year sovereign green bond auction partly devolved on primary dealers (Rs 3945 crore)</t>
  </si>
  <si>
    <t xml:space="preserve">Devolved</t>
  </si>
  <si>
    <t xml:space="preserve">SID-2502</t>
  </si>
  <si>
    <t xml:space="preserve">SIDBI</t>
  </si>
  <si>
    <t xml:space="preserve">MSME finance</t>
  </si>
  <si>
    <t xml:space="preserve">Agence Francaise de Developpement</t>
  </si>
  <si>
    <t xml:space="preserve">Credit line to expand green finance access for MSMEs</t>
  </si>
  <si>
    <t xml:space="preserve">IRE-2503A</t>
  </si>
  <si>
    <t xml:space="preserve">IREDA</t>
  </si>
  <si>
    <t xml:space="preserve">Renewable finance</t>
  </si>
  <si>
    <t xml:space="preserve">Unconfirmed</t>
  </si>
  <si>
    <t xml:space="preserve">Perpetual</t>
  </si>
  <si>
    <t xml:space="preserve">8.40%</t>
  </si>
  <si>
    <t xml:space="preserve">Institutional investors (private placement)</t>
  </si>
  <si>
    <t xml:space="preserve">Perpetual Tier I bonds to strengthen capital adequacy; described as green by Renewable Watch</t>
  </si>
  <si>
    <t xml:space="preserve">IRE-2503B</t>
  </si>
  <si>
    <t xml:space="preserve">7.74%</t>
  </si>
  <si>
    <t xml:space="preserve">Tier II bonds to strengthen capital adequacy; described as green by Renewable Watch</t>
  </si>
  <si>
    <t xml:space="preserve">GZB-2504</t>
  </si>
  <si>
    <t xml:space="preserve">Ghaziabad Nagar Nigam</t>
  </si>
  <si>
    <t xml:space="preserve">Urban water</t>
  </si>
  <si>
    <t xml:space="preserve">Public issue</t>
  </si>
  <si>
    <t xml:space="preserve">Tertiary sewage treatment plant for industrial water reuse; first certified green municipal bond</t>
  </si>
  <si>
    <t xml:space="preserve">SER-2506</t>
  </si>
  <si>
    <t xml:space="preserve">Serentica Renewables</t>
  </si>
  <si>
    <t xml:space="preserve">Rabobank; Societe Generale</t>
  </si>
  <si>
    <t xml:space="preserve">300 MW solar (Rajasthan) supplying Bharat Aluminium</t>
  </si>
  <si>
    <t xml:space="preserve">PCM-2506</t>
  </si>
  <si>
    <t xml:space="preserve">Pimpri-Chinchwad Municipal Corporation</t>
  </si>
  <si>
    <t xml:space="preserve">Urban mobility</t>
  </si>
  <si>
    <t xml:space="preserve">Public issue (5x oversubscribed); BSE listed</t>
  </si>
  <si>
    <t xml:space="preserve">Sustainable mobility projects; Rs 20 crore Urban Challenge Fund incentive</t>
  </si>
  <si>
    <t xml:space="preserve">LTB-2506</t>
  </si>
  <si>
    <t xml:space="preserve">Larsen &amp; Toubro</t>
  </si>
  <si>
    <t xml:space="preserve">Engineering &amp; construction</t>
  </si>
  <si>
    <t xml:space="preserve">3</t>
  </si>
  <si>
    <t xml:space="preserve">6.35%</t>
  </si>
  <si>
    <t xml:space="preserve">Domestic investors</t>
  </si>
  <si>
    <t xml:space="preserve">ESG-labelled bonds</t>
  </si>
  <si>
    <t xml:space="preserve">IGR-2506</t>
  </si>
  <si>
    <t xml:space="preserve">IndiGrid</t>
  </si>
  <si>
    <t xml:space="preserve">Power transmission / storage</t>
  </si>
  <si>
    <t xml:space="preserve">Part concessional (USD 16.5 mn CTF)</t>
  </si>
  <si>
    <t xml:space="preserve">IFC; Clean Technology Fund</t>
  </si>
  <si>
    <t xml:space="preserve">180 MW / 360 MWh standalone battery storage (Gujarat)</t>
  </si>
  <si>
    <t xml:space="preserve">SOV-2506</t>
  </si>
  <si>
    <t xml:space="preserve">30</t>
  </si>
  <si>
    <t xml:space="preserve">Bids rejected</t>
  </si>
  <si>
    <t xml:space="preserve">Rs 5000 crore 30-year reissue: all bids rejected as investors sought higher yields</t>
  </si>
  <si>
    <t xml:space="preserve">Rejected</t>
  </si>
  <si>
    <t xml:space="preserve">ABC-2508</t>
  </si>
  <si>
    <t xml:space="preserve">Aditya Birla Capital</t>
  </si>
  <si>
    <t xml:space="preserve">NBFC</t>
  </si>
  <si>
    <t xml:space="preserve">Asian Infrastructure Investment Bank</t>
  </si>
  <si>
    <t xml:space="preserve">NCDs for clean energy (solar; wind; hydrogen; storage) and e-mobility lending</t>
  </si>
  <si>
    <t xml:space="preserve">LTS-2509</t>
  </si>
  <si>
    <t xml:space="preserve">KPI-linked pricing</t>
  </si>
  <si>
    <t xml:space="preserve">Standard Chartered</t>
  </si>
  <si>
    <t xml:space="preserve">Sustainability-linked trade facility; KPIs: GHG emission intensity and fresh-water withdrawal</t>
  </si>
  <si>
    <t xml:space="preserve">SUR-2510</t>
  </si>
  <si>
    <t xml:space="preserve">Surat Municipal Corporation</t>
  </si>
  <si>
    <t xml:space="preserve">Urban infrastructure</t>
  </si>
  <si>
    <t xml:space="preserve">4 &amp; 5</t>
  </si>
  <si>
    <t xml:space="preserve">8.00% (STRPP A and B)</t>
  </si>
  <si>
    <t xml:space="preserve">Public issue; A. K. Capital (lead manager)</t>
  </si>
  <si>
    <t xml:space="preserve">Solar plant; wind plant; e-bus depot; waste processing; water treatment; intake well. Base Rs 100 cr (greenshoe up to Rs 100 cr more; final allotment not confirmed); AA+ (CRISIL / Ind-Ra)</t>
  </si>
  <si>
    <t xml:space="preserve">SOV-2604</t>
  </si>
  <si>
    <t xml:space="preserve">7.50% coupon; ~6 bps greenium; ~2.5x bid-cover</t>
  </si>
  <si>
    <t xml:space="preserve">Insurers (state-run and private)</t>
  </si>
  <si>
    <t xml:space="preserve">30-year green bond; largest greenium since Jan 2023; amount not reported</t>
  </si>
  <si>
    <t xml:space="preserve">SOV-2608</t>
  </si>
  <si>
    <t xml:space="preserve">~4 bps greenium</t>
  </si>
  <si>
    <t xml:space="preserve">Rs 5000 crore 30-year; outstanding sovereign green bonds Rs 877 bn after this sale</t>
  </si>
  <si>
    <t xml:space="preserve">SOV-27H2</t>
  </si>
  <si>
    <t xml:space="preserve">Greenshoe up to Rs 2000 cr per auction</t>
  </si>
  <si>
    <t xml:space="preserve">RBI auctions (5 x Rs 3000 cr)</t>
  </si>
  <si>
    <t xml:space="preserve">H2 FY27 borrowing calendar: five 30-year tranches; 5% reserved for retail</t>
  </si>
  <si>
    <t xml:space="preserve">Scheduled</t>
  </si>
  <si>
    <t xml:space="preserve">REN-2610</t>
  </si>
  <si>
    <t xml:space="preserve">ReNew Solar Power</t>
  </si>
  <si>
    <t xml:space="preserve">INR-denominated</t>
  </si>
  <si>
    <t xml:space="preserve">FMO</t>
  </si>
  <si>
    <t xml:space="preserve">Solar and hybrid project expansion; FMO classifies 100% as green</t>
  </si>
  <si>
    <t xml:space="preserve">FX assumptions (units per 1 USD)</t>
  </si>
  <si>
    <t xml:space="preserve">Approximate October 2026 levels. Blue cells are inputs: edit to re-price every deal.</t>
  </si>
  <si>
    <t xml:space="preserve">Per USD</t>
  </si>
  <si>
    <t xml:space="preserve">Sovereign green bonds: auction outcomes and greenium</t>
  </si>
  <si>
    <t xml:space="preserve">Greenium = yield discount vs a comparable conventional G-sec, in basis points. Blank where the source gives none.</t>
  </si>
  <si>
    <t xml:space="preserve">Auction</t>
  </si>
  <si>
    <t xml:space="preserve">Tenor</t>
  </si>
  <si>
    <t xml:space="preserve">Notified (INR cr)</t>
  </si>
  <si>
    <t xml:space="preserve">Outcome</t>
  </si>
  <si>
    <t xml:space="preserve">Greenium (bps)</t>
  </si>
  <si>
    <t xml:space="preserve">What it tells you</t>
  </si>
  <si>
    <t xml:space="preserve">Jan 2023</t>
  </si>
  <si>
    <t xml:space="preserve">5y / 10y</t>
  </si>
  <si>
    <t xml:space="preserve">Debut; &gt;4x subscribed</t>
  </si>
  <si>
    <t xml:space="preserve">Strong debut demand, priced through conventional curve</t>
  </si>
  <si>
    <t xml:space="preserve">May 2024</t>
  </si>
  <si>
    <t xml:space="preserve">Cancelled: no pricing advantage</t>
  </si>
  <si>
    <t xml:space="preserve">Government refused to issue without a greenium</t>
  </si>
  <si>
    <t xml:space="preserve">Aug 2024</t>
  </si>
  <si>
    <t xml:space="preserve">Only Rs 1,697 cr bid; cut-off 6.90%</t>
  </si>
  <si>
    <t xml:space="preserve">Thin demand at short/medium tenors</t>
  </si>
  <si>
    <t xml:space="preserve">Nov 2024</t>
  </si>
  <si>
    <t xml:space="preserve">70% devolved on primary dealers (6.78-6.84%)</t>
  </si>
  <si>
    <t xml:space="preserve">Banks unwilling to pay a greenium</t>
  </si>
  <si>
    <t xml:space="preserve">Jan 2025</t>
  </si>
  <si>
    <t xml:space="preserve">10y</t>
  </si>
  <si>
    <t xml:space="preserve">Rs 3,945 cr devolved on primary dealers</t>
  </si>
  <si>
    <t xml:space="preserve">10-year green paper struggles</t>
  </si>
  <si>
    <t xml:space="preserve">Jun 2025</t>
  </si>
  <si>
    <t xml:space="preserve">30y</t>
  </si>
  <si>
    <t xml:space="preserve">All bids rejected</t>
  </si>
  <si>
    <t xml:space="preserve">Investors sought higher yields than the government would pay</t>
  </si>
  <si>
    <t xml:space="preserve">Apr 2026</t>
  </si>
  <si>
    <t xml:space="preserve">~2.5x subscribed; 7.50% coupon</t>
  </si>
  <si>
    <t xml:space="preserve">Largest greenium since 2023; insurers drive demand via 'infra' classification</t>
  </si>
  <si>
    <t xml:space="preserve">Aug 2026</t>
  </si>
  <si>
    <t xml:space="preserve">Sold in full</t>
  </si>
  <si>
    <t xml:space="preserve">H1 FY27 average greenium 4 bps, highest since launch</t>
  </si>
  <si>
    <t xml:space="preserve">Oct 2026 - Jan 2027</t>
  </si>
  <si>
    <t xml:space="preserve">Scheduled: 5 x Rs 3,000 cr</t>
  </si>
  <si>
    <t xml:space="preserve">Government shifted green supply to 30-year, where demand exists</t>
  </si>
  <si>
    <t xml:space="preserve">Average greenium where reported (bps)</t>
  </si>
  <si>
    <t xml:space="preserve">About this tracker</t>
  </si>
  <si>
    <t xml:space="preserve">Scope: labelled green, ESG and sustainability-linked bonds and loans by Indian issuers and borrowers, plus sovereign green bond auctions, Jan 2023 to Oct 2026. Every deal row links to its public source.</t>
  </si>
  <si>
    <t xml:space="preserve">Inputs: blue text on yellow is editable. Add a deal in the empty yellow rows at the bottom of the Deals sheet; USD, INR crore and every Dashboard figure update automatically.</t>
  </si>
  <si>
    <t xml:space="preserve">Completed = Priced, Signed or Devolved. Rejected and Scheduled deals are listed but not counted in totals.</t>
  </si>
  <si>
    <t xml:space="preserve">Green label 'Unconfirmed' = the issuer is a green-sector lender and a trade publication calls the issue green, but the issuer's own release does not. Treat with caution.</t>
  </si>
  <si>
    <t xml:space="preserve">FX: deals are converted at the FX sheet's rates, not the historical rate on each deal date, so totals are indicative.</t>
  </si>
  <si>
    <t xml:space="preserve">Limits: this is a curated sample from public news and filings, not a complete market database (e.g. Bloomberg, LSEG, CBI). Amounts not disclosed by the source are left blank and excluded from totals.</t>
  </si>
  <si>
    <t xml:space="preserve">Prepared by Mayank Majoka, October 2026. Not investment advice.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</si>
</sst>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#,##0;\(#,##0\);\-"/>
    <numFmt numFmtId="167" formatCode="0%"/>
    <numFmt numFmtId="168" formatCode="dd\-mmm\-yy"/>
    <numFmt numFmtId="169" formatCode="#,##0.00"/>
    <numFmt numFmtId="170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E6B4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u val="single"/>
      <sz val="10"/>
      <color rgb="FF0563C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E6B4F"/>
        <bgColor rgb="FF555555"/>
      </patternFill>
    </fill>
    <fill>
      <patternFill patternType="solid">
        <fgColor rgb="FFFFF9D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2E6B4F"/>
          <bgColor rgb="FF000000"/>
        </patternFill>
      </fill>
    </dxf>
    <dxf>
      <fill>
        <patternFill patternType="solid">
          <fgColor rgb="FFFFF9D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6B4F"/>
      <rgbColor rgb="FFD9D9D9"/>
      <rgbColor rgb="FF878787"/>
      <rgbColor rgb="FF9999FF"/>
      <rgbColor rgb="FF993366"/>
      <rgbColor rgb="FFFFF9DB"/>
      <rgbColor rgb="FFCCFFFF"/>
      <rgbColor rgb="FF660066"/>
      <rgbColor rgb="FFFF8080"/>
      <rgbColor rgb="FF0563C1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USD mn by instrument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Dashboard!C10</c:f>
              <c:strCache>
                <c:ptCount val="1"/>
                <c:pt idx="0">
                  <c:v>USD mn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Dashboard!$A$11:$A$15</c:f>
              <c:strCache>
                <c:ptCount val="5"/>
                <c:pt idx="0">
                  <c:v>Green bond</c:v>
                </c:pt>
                <c:pt idx="1">
                  <c:v>ESG bond</c:v>
                </c:pt>
                <c:pt idx="2">
                  <c:v>Sustainability-linked bond</c:v>
                </c:pt>
                <c:pt idx="3">
                  <c:v>Green loan</c:v>
                </c:pt>
                <c:pt idx="4">
                  <c:v>Sustainability-linked loan</c:v>
                </c:pt>
              </c:strCache>
            </c:strRef>
          </c:cat>
          <c:val>
            <c:numRef>
              <c:f>Dashboard!$C$11:$C$15</c:f>
              <c:numCache>
                <c:formatCode>#,##0;\(#,##0\);\-</c:formatCode>
                <c:ptCount val="5"/>
                <c:pt idx="0">
                  <c:v>3119.65909090909</c:v>
                </c:pt>
                <c:pt idx="1">
                  <c:v>56.8181818181818</c:v>
                </c:pt>
                <c:pt idx="2">
                  <c:v>0</c:v>
                </c:pt>
                <c:pt idx="3">
                  <c:v>1808.48837209302</c:v>
                </c:pt>
                <c:pt idx="4">
                  <c:v>1050</c:v>
                </c:pt>
              </c:numCache>
            </c:numRef>
          </c:val>
        </c:ser>
        <c:gapWidth val="150"/>
        <c:overlap val="0"/>
        <c:axId val="59142782"/>
        <c:axId val="19635579"/>
      </c:barChart>
      <c:catAx>
        <c:axId val="591427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635579"/>
        <c:crosses val="autoZero"/>
        <c:auto val="1"/>
        <c:lblAlgn val="ctr"/>
        <c:lblOffset val="100"/>
        <c:noMultiLvlLbl val="0"/>
      </c:catAx>
      <c:valAx>
        <c:axId val="196355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14278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USD mn by issuer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Dashboard!C18</c:f>
              <c:strCache>
                <c:ptCount val="1"/>
                <c:pt idx="0">
                  <c:v>USD mn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Dashboard!$A$19:$A$23</c:f>
              <c:strCache>
                <c:ptCount val="5"/>
                <c:pt idx="0">
                  <c:v>Sovereign</c:v>
                </c:pt>
                <c:pt idx="1">
                  <c:v>PSU NBFC</c:v>
                </c:pt>
                <c:pt idx="2">
                  <c:v>Bank</c:v>
                </c:pt>
                <c:pt idx="3">
                  <c:v>Corporate</c:v>
                </c:pt>
                <c:pt idx="4">
                  <c:v>Municipal</c:v>
                </c:pt>
              </c:strCache>
            </c:strRef>
          </c:cat>
          <c:val>
            <c:numRef>
              <c:f>Dashboard!$C$19:$C$23</c:f>
              <c:numCache>
                <c:formatCode>#,##0;\(#,##0\);\-</c:formatCode>
                <c:ptCount val="5"/>
                <c:pt idx="0">
                  <c:v>1925.56818181818</c:v>
                </c:pt>
                <c:pt idx="1">
                  <c:v>1645.11363636364</c:v>
                </c:pt>
                <c:pt idx="2">
                  <c:v>750</c:v>
                </c:pt>
                <c:pt idx="3">
                  <c:v>1663.14746300211</c:v>
                </c:pt>
                <c:pt idx="4">
                  <c:v>51.1363636363636</c:v>
                </c:pt>
              </c:numCache>
            </c:numRef>
          </c:val>
        </c:ser>
        <c:gapWidth val="150"/>
        <c:overlap val="0"/>
        <c:axId val="97144087"/>
        <c:axId val="16147542"/>
      </c:barChart>
      <c:catAx>
        <c:axId val="97144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147542"/>
        <c:crosses val="autoZero"/>
        <c:auto val="1"/>
        <c:lblAlgn val="ctr"/>
        <c:lblOffset val="100"/>
        <c:noMultiLvlLbl val="0"/>
      </c:catAx>
      <c:valAx>
        <c:axId val="161475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14408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USD mn by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Dashboard!C26</c:f>
              <c:strCache>
                <c:ptCount val="1"/>
                <c:pt idx="0">
                  <c:v>USD mn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Dashboard!$A$27:$A$30</c:f>
              <c:strCache>
                <c:ptCount val="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</c:strCache>
            </c:strRef>
          </c:cat>
          <c:val>
            <c:numRef>
              <c:f>Dashboard!$C$27:$C$30</c:f>
              <c:numCache>
                <c:formatCode>#,##0;\(#,##0\);\-</c:formatCode>
                <c:ptCount val="4"/>
                <c:pt idx="0">
                  <c:v>909.090909090909</c:v>
                </c:pt>
                <c:pt idx="1">
                  <c:v>1653.48837209302</c:v>
                </c:pt>
                <c:pt idx="2">
                  <c:v>2804.20454545455</c:v>
                </c:pt>
                <c:pt idx="3">
                  <c:v>668.181818181818</c:v>
                </c:pt>
              </c:numCache>
            </c:numRef>
          </c:val>
        </c:ser>
        <c:gapWidth val="150"/>
        <c:overlap val="0"/>
        <c:axId val="32937056"/>
        <c:axId val="1123301"/>
      </c:barChart>
      <c:catAx>
        <c:axId val="3293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23301"/>
        <c:crosses val="autoZero"/>
        <c:auto val="1"/>
        <c:lblAlgn val="ctr"/>
        <c:lblOffset val="100"/>
        <c:noMultiLvlLbl val="0"/>
      </c:catAx>
      <c:valAx>
        <c:axId val="11233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93705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160920</xdr:rowOff>
    </xdr:from>
    <xdr:to>
      <xdr:col>13</xdr:col>
      <xdr:colOff>147600</xdr:colOff>
      <xdr:row>16</xdr:row>
      <xdr:rowOff>81000</xdr:rowOff>
    </xdr:to>
    <xdr:graphicFrame>
      <xdr:nvGraphicFramePr>
        <xdr:cNvPr id="0" name="Chart 1"/>
        <xdr:cNvGraphicFramePr/>
      </xdr:nvGraphicFramePr>
      <xdr:xfrm>
        <a:off x="5545440" y="57168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19</xdr:row>
      <xdr:rowOff>48240</xdr:rowOff>
    </xdr:from>
    <xdr:to>
      <xdr:col>13</xdr:col>
      <xdr:colOff>147600</xdr:colOff>
      <xdr:row>33</xdr:row>
      <xdr:rowOff>80640</xdr:rowOff>
    </xdr:to>
    <xdr:graphicFrame>
      <xdr:nvGraphicFramePr>
        <xdr:cNvPr id="1" name="Chart 2"/>
        <xdr:cNvGraphicFramePr/>
      </xdr:nvGraphicFramePr>
      <xdr:xfrm>
        <a:off x="5545440" y="380988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36</xdr:row>
      <xdr:rowOff>48240</xdr:rowOff>
    </xdr:from>
    <xdr:to>
      <xdr:col>13</xdr:col>
      <xdr:colOff>147600</xdr:colOff>
      <xdr:row>50</xdr:row>
      <xdr:rowOff>81000</xdr:rowOff>
    </xdr:to>
    <xdr:graphicFrame>
      <xdr:nvGraphicFramePr>
        <xdr:cNvPr id="2" name="Chart 3"/>
        <xdr:cNvGraphicFramePr/>
      </xdr:nvGraphicFramePr>
      <xdr:xfrm>
        <a:off x="5545440" y="704844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gripinvest.in/blog/sovereign-green-bonds" TargetMode="External"/><Relationship Id="rId2" Type="http://schemas.openxmlformats.org/officeDocument/2006/relationships/hyperlink" Target="https://www.business-standard.com/amp/finance/news/state-bank-of-india-concludes-placement-of-250-million-green-bond-124010401209_1.html" TargetMode="External"/><Relationship Id="rId3" Type="http://schemas.openxmlformats.org/officeDocument/2006/relationships/hyperlink" Target="https://www.business-standard.com/companies/news/tata-comm-raises-250-million-sustainability-loan-from-dbs-anz-edc-124062001050_1.html" TargetMode="External"/><Relationship Id="rId4" Type="http://schemas.openxmlformats.org/officeDocument/2006/relationships/hyperlink" Target="https://powerline.net.in/2025/10/31/key-financings-major-debt-and-equity-moves-3/" TargetMode="External"/><Relationship Id="rId5" Type="http://schemas.openxmlformats.org/officeDocument/2006/relationships/hyperlink" Target="https://powerline.net.in/2025/10/31/key-financings-major-debt-and-equity-moves-3/" TargetMode="External"/><Relationship Id="rId6" Type="http://schemas.openxmlformats.org/officeDocument/2006/relationships/hyperlink" Target="https://www.business-standard.com/companies/news/rec-raises-500-million-via-green-bond-to-support-renewable-energy-projects-124092800724_1.html" TargetMode="External"/><Relationship Id="rId7" Type="http://schemas.openxmlformats.org/officeDocument/2006/relationships/hyperlink" Target="https://powerline.net.in/2025/10/31/key-financings-major-debt-and-equity-moves-3/" TargetMode="External"/><Relationship Id="rId8" Type="http://schemas.openxmlformats.org/officeDocument/2006/relationships/hyperlink" Target="https://www.ifc.org/en/pressroom/2025/jk-tyre-ties-up-with-ifc-for-india-s-first-tyre-industry-sustainability-linked-loa" TargetMode="External"/><Relationship Id="rId9" Type="http://schemas.openxmlformats.org/officeDocument/2006/relationships/hyperlink" Target="https://www.business-standard.com/finance/news/rbi-partially-devolves-rs-3-945-cr-worth-of-10-year-sovereign-green-bonds-125013101508_1.html" TargetMode="External"/><Relationship Id="rId10" Type="http://schemas.openxmlformats.org/officeDocument/2006/relationships/hyperlink" Target="https://powerline.net.in/2025/10/31/key-financings-major-debt-and-equity-moves-3/" TargetMode="External"/><Relationship Id="rId11" Type="http://schemas.openxmlformats.org/officeDocument/2006/relationships/hyperlink" Target="https://renewablewatch.in/2025/07/01/green-yields/" TargetMode="External"/><Relationship Id="rId12" Type="http://schemas.openxmlformats.org/officeDocument/2006/relationships/hyperlink" Target="https://www.business-standard.com/companies/news/ireda-raises-rs-910-crore-via-tier-ii-bonds-at-7-74-coupon-rate-125032501113_1.html" TargetMode="External"/><Relationship Id="rId13" Type="http://schemas.openxmlformats.org/officeDocument/2006/relationships/hyperlink" Target="https://renewablewatch.in/2025/07/01/green-yields/" TargetMode="External"/><Relationship Id="rId14" Type="http://schemas.openxmlformats.org/officeDocument/2006/relationships/hyperlink" Target="https://powerline.net.in/2025/10/31/key-financings-major-debt-and-equity-moves-3/" TargetMode="External"/><Relationship Id="rId15" Type="http://schemas.openxmlformats.org/officeDocument/2006/relationships/hyperlink" Target="https://renewablewatch.in/2025/07/01/green-yields/" TargetMode="External"/><Relationship Id="rId16" Type="http://schemas.openxmlformats.org/officeDocument/2006/relationships/hyperlink" Target="https://powerline.net.in/2025/10/31/key-financings-major-debt-and-equity-moves-3/" TargetMode="External"/><Relationship Id="rId17" Type="http://schemas.openxmlformats.org/officeDocument/2006/relationships/hyperlink" Target="https://powerline.net.in/2025/10/31/key-financings-major-debt-and-equity-moves-3/" TargetMode="External"/><Relationship Id="rId18" Type="http://schemas.openxmlformats.org/officeDocument/2006/relationships/hyperlink" Target="https://www.business-standard.com/economy/news/rbi-rejects-30-year-green-bond-bids-as-investors-seek-higher-yields-125061300999_1.html" TargetMode="External"/><Relationship Id="rId19" Type="http://schemas.openxmlformats.org/officeDocument/2006/relationships/hyperlink" Target="https://powerline.net.in/2025/10/31/key-financings-major-debt-and-equity-moves-3/" TargetMode="External"/><Relationship Id="rId20" Type="http://schemas.openxmlformats.org/officeDocument/2006/relationships/hyperlink" Target="https://www.business-standard.com/companies/news/larsen-toubro-secures-700m-sustainability-linked-trade-facility-125092900480_1.html" TargetMode="External"/><Relationship Id="rId21" Type="http://schemas.openxmlformats.org/officeDocument/2006/relationships/hyperlink" Target="https://www.suratmunicipal.gov.in/Content/Documents/Departments/Accounts/SMCBond/GreenBond/Surat_Municipal_Corporation_Offer_Document_dated_September_18_2025.pdf" TargetMode="External"/><Relationship Id="rId22" Type="http://schemas.openxmlformats.org/officeDocument/2006/relationships/hyperlink" Target="https://www.brecorder.com/news/amp/40418096" TargetMode="External"/><Relationship Id="rId23" Type="http://schemas.openxmlformats.org/officeDocument/2006/relationships/hyperlink" Target="https://www.brecorder.com/news/amp/40434824" TargetMode="External"/><Relationship Id="rId24" Type="http://schemas.openxmlformats.org/officeDocument/2006/relationships/hyperlink" Target="https://goldenpi.com/blog/bond-news/india-sovereign-green-bonds-h2-fy27-15000-crore-issuance-schedule-30-year-auctions/" TargetMode="External"/><Relationship Id="rId25" Type="http://schemas.openxmlformats.org/officeDocument/2006/relationships/hyperlink" Target="https://news.fundsforngos.org/2026/10/16/fmo-usd-100-million-debt-renew-solar-hybrid-india/" TargetMode="External"/><Relationship Id="rId26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renewablewatch.in/2025/07/01/green-yields/" TargetMode="External"/><Relationship Id="rId2" Type="http://schemas.openxmlformats.org/officeDocument/2006/relationships/hyperlink" Target="https://renewablewatch.in/2025/07/01/green-yields/" TargetMode="External"/><Relationship Id="rId3" Type="http://schemas.openxmlformats.org/officeDocument/2006/relationships/hyperlink" Target="https://renewablewatch.in/2025/07/01/green-yields/" TargetMode="External"/><Relationship Id="rId4" Type="http://schemas.openxmlformats.org/officeDocument/2006/relationships/hyperlink" Target="https://renewablewatch.in/2025/07/01/green-yields/" TargetMode="External"/><Relationship Id="rId5" Type="http://schemas.openxmlformats.org/officeDocument/2006/relationships/hyperlink" Target="https://www.business-standard.com/finance/news/rbi-partially-devolves-rs-3-945-cr-worth-of-10-year-sovereign-green-bonds-125013101508_1.html" TargetMode="External"/><Relationship Id="rId6" Type="http://schemas.openxmlformats.org/officeDocument/2006/relationships/hyperlink" Target="https://www.business-standard.com/economy/news/rbi-rejects-30-year-green-bond-bids-as-investors-seek-higher-yields-125061300999_1.html" TargetMode="External"/><Relationship Id="rId7" Type="http://schemas.openxmlformats.org/officeDocument/2006/relationships/hyperlink" Target="https://www.brecorder.com/news/amp/40418096" TargetMode="External"/><Relationship Id="rId8" Type="http://schemas.openxmlformats.org/officeDocument/2006/relationships/hyperlink" Target="https://www.brecorder.com/news/amp/40434824" TargetMode="External"/><Relationship Id="rId9" Type="http://schemas.openxmlformats.org/officeDocument/2006/relationships/hyperlink" Target="https://goldenpi.com/blog/bond-news/india-sovereign-green-bonds-h2-fy27-15000-crore-issuance-schedule-30-year-auctions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4" min="3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f aca="false">COUNTIFS(Deals!$Q$2:$Q$41,"Priced")+COUNTIFS(Deals!$Q$2:$Q$41,"Signed")+COUNTIFS(Deals!$Q$2:$Q$41,"Devolved")</f>
        <v>23</v>
      </c>
    </row>
    <row r="5" customFormat="false" ht="15" hidden="false" customHeight="false" outlineLevel="0" collapsed="false">
      <c r="A5" s="3" t="s">
        <v>3</v>
      </c>
      <c r="B5" s="5" t="n">
        <f aca="false">SUMIFS(Deals!$J$2:$J$41,Deals!$Q$2:$Q$41,"Priced")+SUMIFS(Deals!$J$2:$J$41,Deals!$Q$2:$Q$41,"Signed")+SUMIFS(Deals!$J$2:$J$41,Deals!$Q$2:$Q$41,"Devolved")</f>
        <v>6034.9656448203</v>
      </c>
    </row>
    <row r="6" customFormat="false" ht="15" hidden="false" customHeight="false" outlineLevel="0" collapsed="false">
      <c r="A6" s="3" t="s">
        <v>4</v>
      </c>
      <c r="B6" s="5" t="n">
        <f aca="false">B5*FX!$B$5/10</f>
        <v>53107.6976744186</v>
      </c>
    </row>
    <row r="7" customFormat="false" ht="15" hidden="false" customHeight="false" outlineLevel="0" collapsed="false">
      <c r="A7" s="3" t="s">
        <v>5</v>
      </c>
      <c r="B7" s="5" t="n">
        <f aca="false">MAX(_xlfn.MAXIFS(Deals!$J$2:$J$41,Deals!$Q$2:$Q$41,"Priced"),_xlfn.MAXIFS(Deals!$J$2:$J$41,Deals!$Q$2:$Q$41,"Signed"),_xlfn.MAXIFS(Deals!$J$2:$J$41,Deals!$Q$2:$Q$41,"Devolved"))</f>
        <v>909.090909090909</v>
      </c>
    </row>
    <row r="8" customFormat="false" ht="23.85" hidden="false" customHeight="false" outlineLevel="0" collapsed="false">
      <c r="A8" s="3" t="s">
        <v>6</v>
      </c>
      <c r="B8" s="6" t="n">
        <v>877</v>
      </c>
      <c r="C8" s="2" t="s">
        <v>7</v>
      </c>
    </row>
    <row r="10" customFormat="false" ht="15" hidden="false" customHeight="false" outlineLevel="0" collapsed="false">
      <c r="A10" s="7" t="s">
        <v>8</v>
      </c>
      <c r="B10" s="8" t="s">
        <v>9</v>
      </c>
      <c r="C10" s="8" t="s">
        <v>10</v>
      </c>
      <c r="D10" s="8" t="s">
        <v>11</v>
      </c>
    </row>
    <row r="11" customFormat="false" ht="15" hidden="false" customHeight="false" outlineLevel="0" collapsed="false">
      <c r="A11" s="9" t="s">
        <v>12</v>
      </c>
      <c r="B11" s="10" t="n">
        <f aca="false">COUNTIFS(Deals!$Q$2:$Q$41,"Priced",Deals!$F$2:$F$41,$A11)+COUNTIFS(Deals!$Q$2:$Q$41,"Signed",Deals!$F$2:$F$41,$A11)+COUNTIFS(Deals!$Q$2:$Q$41,"Devolved",Deals!$F$2:$F$41,$A11)</f>
        <v>12</v>
      </c>
      <c r="C11" s="11" t="n">
        <f aca="false">SUMIFS(Deals!$J$2:$J$41,Deals!$Q$2:$Q$41,"Priced",Deals!$F$2:$F$41,$A11)+SUMIFS(Deals!$J$2:$J$41,Deals!$Q$2:$Q$41,"Signed",Deals!$F$2:$F$41,$A11)+SUMIFS(Deals!$J$2:$J$41,Deals!$Q$2:$Q$41,"Devolved",Deals!$F$2:$F$41,$A11)</f>
        <v>3119.65909090909</v>
      </c>
      <c r="D11" s="12" t="n">
        <f aca="false">IF($B$5=0,0,C11/$B$5)</f>
        <v>0.516930712536307</v>
      </c>
    </row>
    <row r="12" customFormat="false" ht="15" hidden="false" customHeight="false" outlineLevel="0" collapsed="false">
      <c r="A12" s="9" t="s">
        <v>13</v>
      </c>
      <c r="B12" s="10" t="n">
        <f aca="false">COUNTIFS(Deals!$Q$2:$Q$41,"Priced",Deals!$F$2:$F$41,$A12)+COUNTIFS(Deals!$Q$2:$Q$41,"Signed",Deals!$F$2:$F$41,$A12)+COUNTIFS(Deals!$Q$2:$Q$41,"Devolved",Deals!$F$2:$F$41,$A12)</f>
        <v>1</v>
      </c>
      <c r="C12" s="11" t="n">
        <f aca="false">SUMIFS(Deals!$J$2:$J$41,Deals!$Q$2:$Q$41,"Priced",Deals!$F$2:$F$41,$A12)+SUMIFS(Deals!$J$2:$J$41,Deals!$Q$2:$Q$41,"Signed",Deals!$F$2:$F$41,$A12)+SUMIFS(Deals!$J$2:$J$41,Deals!$Q$2:$Q$41,"Devolved",Deals!$F$2:$F$41,$A12)</f>
        <v>56.8181818181818</v>
      </c>
      <c r="D12" s="12" t="n">
        <f aca="false">IF($B$5=0,0,C12/$B$5)</f>
        <v>0.00941483103005696</v>
      </c>
    </row>
    <row r="13" customFormat="false" ht="15" hidden="false" customHeight="false" outlineLevel="0" collapsed="false">
      <c r="A13" s="9" t="s">
        <v>14</v>
      </c>
      <c r="B13" s="10" t="n">
        <f aca="false">COUNTIFS(Deals!$Q$2:$Q$41,"Priced",Deals!$F$2:$F$41,$A13)+COUNTIFS(Deals!$Q$2:$Q$41,"Signed",Deals!$F$2:$F$41,$A13)+COUNTIFS(Deals!$Q$2:$Q$41,"Devolved",Deals!$F$2:$F$41,$A13)</f>
        <v>0</v>
      </c>
      <c r="C13" s="11" t="n">
        <f aca="false">SUMIFS(Deals!$J$2:$J$41,Deals!$Q$2:$Q$41,"Priced",Deals!$F$2:$F$41,$A13)+SUMIFS(Deals!$J$2:$J$41,Deals!$Q$2:$Q$41,"Signed",Deals!$F$2:$F$41,$A13)+SUMIFS(Deals!$J$2:$J$41,Deals!$Q$2:$Q$41,"Devolved",Deals!$F$2:$F$41,$A13)</f>
        <v>0</v>
      </c>
      <c r="D13" s="12" t="n">
        <f aca="false">IF($B$5=0,0,C13/$B$5)</f>
        <v>0</v>
      </c>
    </row>
    <row r="14" customFormat="false" ht="15" hidden="false" customHeight="false" outlineLevel="0" collapsed="false">
      <c r="A14" s="9" t="s">
        <v>15</v>
      </c>
      <c r="B14" s="10" t="n">
        <f aca="false">COUNTIFS(Deals!$Q$2:$Q$41,"Priced",Deals!$F$2:$F$41,$A14)+COUNTIFS(Deals!$Q$2:$Q$41,"Signed",Deals!$F$2:$F$41,$A14)+COUNTIFS(Deals!$Q$2:$Q$41,"Devolved",Deals!$F$2:$F$41,$A14)</f>
        <v>7</v>
      </c>
      <c r="C14" s="11" t="n">
        <f aca="false">SUMIFS(Deals!$J$2:$J$41,Deals!$Q$2:$Q$41,"Priced",Deals!$F$2:$F$41,$A14)+SUMIFS(Deals!$J$2:$J$41,Deals!$Q$2:$Q$41,"Signed",Deals!$F$2:$F$41,$A14)+SUMIFS(Deals!$J$2:$J$41,Deals!$Q$2:$Q$41,"Devolved",Deals!$F$2:$F$41,$A14)</f>
        <v>1808.48837209302</v>
      </c>
      <c r="D14" s="12" t="n">
        <f aca="false">IF($B$5=0,0,C14/$B$5)</f>
        <v>0.299668378998183</v>
      </c>
    </row>
    <row r="15" customFormat="false" ht="15" hidden="false" customHeight="false" outlineLevel="0" collapsed="false">
      <c r="A15" s="9" t="s">
        <v>16</v>
      </c>
      <c r="B15" s="10" t="n">
        <f aca="false">COUNTIFS(Deals!$Q$2:$Q$41,"Priced",Deals!$F$2:$F$41,$A15)+COUNTIFS(Deals!$Q$2:$Q$41,"Signed",Deals!$F$2:$F$41,$A15)+COUNTIFS(Deals!$Q$2:$Q$41,"Devolved",Deals!$F$2:$F$41,$A15)</f>
        <v>3</v>
      </c>
      <c r="C15" s="11" t="n">
        <f aca="false">SUMIFS(Deals!$J$2:$J$41,Deals!$Q$2:$Q$41,"Priced",Deals!$F$2:$F$41,$A15)+SUMIFS(Deals!$J$2:$J$41,Deals!$Q$2:$Q$41,"Signed",Deals!$F$2:$F$41,$A15)+SUMIFS(Deals!$J$2:$J$41,Deals!$Q$2:$Q$41,"Devolved",Deals!$F$2:$F$41,$A15)</f>
        <v>1050</v>
      </c>
      <c r="D15" s="12" t="n">
        <f aca="false">IF($B$5=0,0,C15/$B$5)</f>
        <v>0.173986077435453</v>
      </c>
    </row>
    <row r="16" customFormat="false" ht="15" hidden="false" customHeight="false" outlineLevel="0" collapsed="false">
      <c r="A16" s="3" t="s">
        <v>17</v>
      </c>
      <c r="B16" s="4" t="n">
        <f aca="false">SUM(B11:B15)</f>
        <v>23</v>
      </c>
      <c r="C16" s="5" t="n">
        <f aca="false">SUM(C11:C15)</f>
        <v>6034.9656448203</v>
      </c>
      <c r="D16" s="13" t="n">
        <f aca="false">SUM(D11:D15)</f>
        <v>1</v>
      </c>
    </row>
    <row r="18" customFormat="false" ht="15" hidden="false" customHeight="false" outlineLevel="0" collapsed="false">
      <c r="A18" s="7" t="s">
        <v>18</v>
      </c>
      <c r="B18" s="8" t="s">
        <v>9</v>
      </c>
      <c r="C18" s="8" t="s">
        <v>10</v>
      </c>
      <c r="D18" s="8" t="s">
        <v>11</v>
      </c>
    </row>
    <row r="19" customFormat="false" ht="15" hidden="false" customHeight="false" outlineLevel="0" collapsed="false">
      <c r="A19" s="9" t="s">
        <v>19</v>
      </c>
      <c r="B19" s="10" t="n">
        <f aca="false">COUNTIFS(Deals!$Q$2:$Q$41,"Priced",Deals!$D$2:$D$41,$A19)+COUNTIFS(Deals!$Q$2:$Q$41,"Signed",Deals!$D$2:$D$41,$A19)+COUNTIFS(Deals!$Q$2:$Q$41,"Devolved",Deals!$D$2:$D$41,$A19)</f>
        <v>4</v>
      </c>
      <c r="C19" s="11" t="n">
        <f aca="false">SUMIFS(Deals!$J$2:$J$41,Deals!$Q$2:$Q$41,"Priced",Deals!$D$2:$D$41,$A19)+SUMIFS(Deals!$J$2:$J$41,Deals!$Q$2:$Q$41,"Signed",Deals!$D$2:$D$41,$A19)+SUMIFS(Deals!$J$2:$J$41,Deals!$Q$2:$Q$41,"Devolved",Deals!$D$2:$D$41,$A19)</f>
        <v>1925.56818181818</v>
      </c>
      <c r="D19" s="12" t="n">
        <f aca="false">IF($B$5=0,0,C19/$B$5)</f>
        <v>0.31906862360863</v>
      </c>
    </row>
    <row r="20" customFormat="false" ht="15" hidden="false" customHeight="false" outlineLevel="0" collapsed="false">
      <c r="A20" s="9" t="s">
        <v>20</v>
      </c>
      <c r="B20" s="10" t="n">
        <f aca="false">COUNTIFS(Deals!$Q$2:$Q$41,"Priced",Deals!$D$2:$D$41,$A20)+COUNTIFS(Deals!$Q$2:$Q$41,"Signed",Deals!$D$2:$D$41,$A20)+COUNTIFS(Deals!$Q$2:$Q$41,"Devolved",Deals!$D$2:$D$41,$A20)</f>
        <v>5</v>
      </c>
      <c r="C20" s="11" t="n">
        <f aca="false">SUMIFS(Deals!$J$2:$J$41,Deals!$Q$2:$Q$41,"Priced",Deals!$D$2:$D$41,$A20)+SUMIFS(Deals!$J$2:$J$41,Deals!$Q$2:$Q$41,"Signed",Deals!$D$2:$D$41,$A20)+SUMIFS(Deals!$J$2:$J$41,Deals!$Q$2:$Q$41,"Devolved",Deals!$D$2:$D$41,$A20)</f>
        <v>1645.11363636364</v>
      </c>
      <c r="D20" s="12" t="n">
        <f aca="false">IF($B$5=0,0,C20/$B$5)</f>
        <v>0.272597017644269</v>
      </c>
    </row>
    <row r="21" customFormat="false" ht="15" hidden="false" customHeight="false" outlineLevel="0" collapsed="false">
      <c r="A21" s="9" t="s">
        <v>21</v>
      </c>
      <c r="B21" s="10" t="n">
        <f aca="false">COUNTIFS(Deals!$Q$2:$Q$41,"Priced",Deals!$D$2:$D$41,$A21)+COUNTIFS(Deals!$Q$2:$Q$41,"Signed",Deals!$D$2:$D$41,$A21)+COUNTIFS(Deals!$Q$2:$Q$41,"Devolved",Deals!$D$2:$D$41,$A21)</f>
        <v>2</v>
      </c>
      <c r="C21" s="11" t="n">
        <f aca="false">SUMIFS(Deals!$J$2:$J$41,Deals!$Q$2:$Q$41,"Priced",Deals!$D$2:$D$41,$A21)+SUMIFS(Deals!$J$2:$J$41,Deals!$Q$2:$Q$41,"Signed",Deals!$D$2:$D$41,$A21)+SUMIFS(Deals!$J$2:$J$41,Deals!$Q$2:$Q$41,"Devolved",Deals!$D$2:$D$41,$A21)</f>
        <v>750</v>
      </c>
      <c r="D21" s="12" t="n">
        <f aca="false">IF($B$5=0,0,C21/$B$5)</f>
        <v>0.124275769596752</v>
      </c>
    </row>
    <row r="22" customFormat="false" ht="15" hidden="false" customHeight="false" outlineLevel="0" collapsed="false">
      <c r="A22" s="9" t="s">
        <v>22</v>
      </c>
      <c r="B22" s="10" t="n">
        <f aca="false">COUNTIFS(Deals!$Q$2:$Q$41,"Priced",Deals!$D$2:$D$41,$A22)+COUNTIFS(Deals!$Q$2:$Q$41,"Signed",Deals!$D$2:$D$41,$A22)+COUNTIFS(Deals!$Q$2:$Q$41,"Devolved",Deals!$D$2:$D$41,$A22)</f>
        <v>9</v>
      </c>
      <c r="C22" s="11" t="n">
        <f aca="false">SUMIFS(Deals!$J$2:$J$41,Deals!$Q$2:$Q$41,"Priced",Deals!$D$2:$D$41,$A22)+SUMIFS(Deals!$J$2:$J$41,Deals!$Q$2:$Q$41,"Signed",Deals!$D$2:$D$41,$A22)+SUMIFS(Deals!$J$2:$J$41,Deals!$Q$2:$Q$41,"Devolved",Deals!$D$2:$D$41,$A22)</f>
        <v>1663.14746300211</v>
      </c>
      <c r="D22" s="12" t="n">
        <f aca="false">IF($B$5=0,0,C22/$B$5)</f>
        <v>0.275585241223298</v>
      </c>
    </row>
    <row r="23" customFormat="false" ht="15" hidden="false" customHeight="false" outlineLevel="0" collapsed="false">
      <c r="A23" s="9" t="s">
        <v>23</v>
      </c>
      <c r="B23" s="10" t="n">
        <f aca="false">COUNTIFS(Deals!$Q$2:$Q$41,"Priced",Deals!$D$2:$D$41,$A23)+COUNTIFS(Deals!$Q$2:$Q$41,"Signed",Deals!$D$2:$D$41,$A23)+COUNTIFS(Deals!$Q$2:$Q$41,"Devolved",Deals!$D$2:$D$41,$A23)</f>
        <v>3</v>
      </c>
      <c r="C23" s="11" t="n">
        <f aca="false">SUMIFS(Deals!$J$2:$J$41,Deals!$Q$2:$Q$41,"Priced",Deals!$D$2:$D$41,$A23)+SUMIFS(Deals!$J$2:$J$41,Deals!$Q$2:$Q$41,"Signed",Deals!$D$2:$D$41,$A23)+SUMIFS(Deals!$J$2:$J$41,Deals!$Q$2:$Q$41,"Devolved",Deals!$D$2:$D$41,$A23)</f>
        <v>51.1363636363636</v>
      </c>
      <c r="D23" s="12" t="n">
        <f aca="false">IF($B$5=0,0,C23/$B$5)</f>
        <v>0.00847334792705126</v>
      </c>
    </row>
    <row r="24" customFormat="false" ht="15" hidden="false" customHeight="false" outlineLevel="0" collapsed="false">
      <c r="A24" s="3" t="s">
        <v>17</v>
      </c>
      <c r="B24" s="4" t="n">
        <f aca="false">SUM(B19:B23)</f>
        <v>23</v>
      </c>
      <c r="C24" s="5" t="n">
        <f aca="false">SUM(C19:C23)</f>
        <v>6034.9656448203</v>
      </c>
      <c r="D24" s="13" t="n">
        <f aca="false">SUM(D19:D23)</f>
        <v>1</v>
      </c>
    </row>
    <row r="26" customFormat="false" ht="15" hidden="false" customHeight="false" outlineLevel="0" collapsed="false">
      <c r="A26" s="7" t="s">
        <v>24</v>
      </c>
      <c r="B26" s="8" t="s">
        <v>9</v>
      </c>
      <c r="C26" s="8" t="s">
        <v>10</v>
      </c>
      <c r="D26" s="8" t="s">
        <v>11</v>
      </c>
    </row>
    <row r="27" customFormat="false" ht="15" hidden="false" customHeight="false" outlineLevel="0" collapsed="false">
      <c r="A27" s="9" t="n">
        <v>2023</v>
      </c>
      <c r="B27" s="10" t="n">
        <f aca="false">COUNTIFS(Deals!$Q$2:$Q$41,"Priced",Deals!$L$2:$L$41,$A27)+COUNTIFS(Deals!$Q$2:$Q$41,"Signed",Deals!$L$2:$L$41,$A27)+COUNTIFS(Deals!$Q$2:$Q$41,"Devolved",Deals!$L$2:$L$41,$A27)</f>
        <v>1</v>
      </c>
      <c r="C27" s="11" t="n">
        <f aca="false">SUMIFS(Deals!$J$2:$J$41,Deals!$Q$2:$Q$41,"Priced",Deals!$L$2:$L$41,$A27)+SUMIFS(Deals!$J$2:$J$41,Deals!$Q$2:$Q$41,"Signed",Deals!$L$2:$L$41,$A27)+SUMIFS(Deals!$J$2:$J$41,Deals!$Q$2:$Q$41,"Devolved",Deals!$L$2:$L$41,$A27)</f>
        <v>909.090909090909</v>
      </c>
      <c r="D27" s="12" t="n">
        <f aca="false">IF($B$5=0,0,C27/$B$5)</f>
        <v>0.150637296480911</v>
      </c>
    </row>
    <row r="28" customFormat="false" ht="15" hidden="false" customHeight="false" outlineLevel="0" collapsed="false">
      <c r="A28" s="9" t="n">
        <v>2024</v>
      </c>
      <c r="B28" s="10" t="n">
        <f aca="false">COUNTIFS(Deals!$Q$2:$Q$41,"Priced",Deals!$L$2:$L$41,$A28)+COUNTIFS(Deals!$Q$2:$Q$41,"Signed",Deals!$L$2:$L$41,$A28)+COUNTIFS(Deals!$Q$2:$Q$41,"Devolved",Deals!$L$2:$L$41,$A28)</f>
        <v>5</v>
      </c>
      <c r="C28" s="11" t="n">
        <f aca="false">SUMIFS(Deals!$J$2:$J$41,Deals!$Q$2:$Q$41,"Priced",Deals!$L$2:$L$41,$A28)+SUMIFS(Deals!$J$2:$J$41,Deals!$Q$2:$Q$41,"Signed",Deals!$L$2:$L$41,$A28)+SUMIFS(Deals!$J$2:$J$41,Deals!$Q$2:$Q$41,"Devolved",Deals!$L$2:$L$41,$A28)</f>
        <v>1653.48837209302</v>
      </c>
      <c r="D28" s="12" t="n">
        <f aca="false">IF($B$5=0,0,C28/$B$5)</f>
        <v>0.273984719948188</v>
      </c>
    </row>
    <row r="29" customFormat="false" ht="15" hidden="false" customHeight="false" outlineLevel="0" collapsed="false">
      <c r="A29" s="9" t="n">
        <v>2025</v>
      </c>
      <c r="B29" s="10" t="n">
        <f aca="false">COUNTIFS(Deals!$Q$2:$Q$41,"Priced",Deals!$L$2:$L$41,$A29)+COUNTIFS(Deals!$Q$2:$Q$41,"Signed",Deals!$L$2:$L$41,$A29)+COUNTIFS(Deals!$Q$2:$Q$41,"Devolved",Deals!$L$2:$L$41,$A29)</f>
        <v>14</v>
      </c>
      <c r="C29" s="11" t="n">
        <f aca="false">SUMIFS(Deals!$J$2:$J$41,Deals!$Q$2:$Q$41,"Priced",Deals!$L$2:$L$41,$A29)+SUMIFS(Deals!$J$2:$J$41,Deals!$Q$2:$Q$41,"Signed",Deals!$L$2:$L$41,$A29)+SUMIFS(Deals!$J$2:$J$41,Deals!$Q$2:$Q$41,"Devolved",Deals!$L$2:$L$41,$A29)</f>
        <v>2804.20454545455</v>
      </c>
      <c r="D29" s="12" t="n">
        <f aca="false">IF($B$5=0,0,C29/$B$5)</f>
        <v>0.464659570657431</v>
      </c>
    </row>
    <row r="30" customFormat="false" ht="15" hidden="false" customHeight="false" outlineLevel="0" collapsed="false">
      <c r="A30" s="9" t="n">
        <v>2026</v>
      </c>
      <c r="B30" s="10" t="n">
        <f aca="false">COUNTIFS(Deals!$Q$2:$Q$41,"Priced",Deals!$L$2:$L$41,$A30)+COUNTIFS(Deals!$Q$2:$Q$41,"Signed",Deals!$L$2:$L$41,$A30)+COUNTIFS(Deals!$Q$2:$Q$41,"Devolved",Deals!$L$2:$L$41,$A30)</f>
        <v>3</v>
      </c>
      <c r="C30" s="11" t="n">
        <f aca="false">SUMIFS(Deals!$J$2:$J$41,Deals!$Q$2:$Q$41,"Priced",Deals!$L$2:$L$41,$A30)+SUMIFS(Deals!$J$2:$J$41,Deals!$Q$2:$Q$41,"Signed",Deals!$L$2:$L$41,$A30)+SUMIFS(Deals!$J$2:$J$41,Deals!$Q$2:$Q$41,"Devolved",Deals!$L$2:$L$41,$A30)</f>
        <v>668.181818181818</v>
      </c>
      <c r="D30" s="12" t="n">
        <f aca="false">IF($B$5=0,0,C30/$B$5)</f>
        <v>0.11071841291347</v>
      </c>
    </row>
    <row r="31" customFormat="false" ht="15" hidden="false" customHeight="false" outlineLevel="0" collapsed="false">
      <c r="A31" s="3" t="s">
        <v>17</v>
      </c>
      <c r="B31" s="4" t="n">
        <f aca="false">SUM(B27:B30)</f>
        <v>23</v>
      </c>
      <c r="C31" s="5" t="n">
        <f aca="false">SUM(C27:C30)</f>
        <v>6034.9656448203</v>
      </c>
      <c r="D31" s="13" t="n">
        <f aca="false">SUM(D27:D30)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6" min="5" style="0" width="18"/>
    <col collapsed="false" customWidth="true" hidden="false" outlineLevel="0" max="7" min="7" style="0" width="11"/>
    <col collapsed="false" customWidth="true" hidden="false" outlineLevel="0" max="8" min="8" style="0" width="9"/>
    <col collapsed="false" customWidth="true" hidden="false" outlineLevel="0" max="9" min="9" style="0" width="13"/>
    <col collapsed="false" customWidth="true" hidden="false" outlineLevel="0" max="11" min="10" style="0" width="11"/>
    <col collapsed="false" customWidth="true" hidden="false" outlineLevel="0" max="12" min="12" style="0" width="7"/>
    <col collapsed="false" customWidth="true" hidden="false" outlineLevel="0" max="13" min="13" style="0" width="9"/>
    <col collapsed="false" customWidth="true" hidden="false" outlineLevel="0" max="14" min="14" style="0" width="22"/>
    <col collapsed="false" customWidth="true" hidden="false" outlineLevel="0" max="15" min="15" style="0" width="30"/>
    <col collapsed="false" customWidth="true" hidden="false" outlineLevel="0" max="16" min="16" style="0" width="50"/>
    <col collapsed="false" customWidth="true" hidden="false" outlineLevel="0" max="17" min="17" style="0" width="11"/>
    <col collapsed="false" customWidth="true" hidden="false" outlineLevel="0" max="18" min="18" style="0" width="12"/>
  </cols>
  <sheetData>
    <row r="1" customFormat="false" ht="30" hidden="false" customHeight="true" outlineLevel="0" collapsed="false">
      <c r="A1" s="8" t="s">
        <v>25</v>
      </c>
      <c r="B1" s="8" t="s">
        <v>26</v>
      </c>
      <c r="C1" s="8" t="s">
        <v>27</v>
      </c>
      <c r="D1" s="8" t="s">
        <v>28</v>
      </c>
      <c r="E1" s="8" t="s">
        <v>29</v>
      </c>
      <c r="F1" s="8" t="s">
        <v>30</v>
      </c>
      <c r="G1" s="8" t="s">
        <v>31</v>
      </c>
      <c r="H1" s="8" t="s">
        <v>32</v>
      </c>
      <c r="I1" s="8" t="s">
        <v>33</v>
      </c>
      <c r="J1" s="8" t="s">
        <v>10</v>
      </c>
      <c r="K1" s="8" t="s">
        <v>34</v>
      </c>
      <c r="L1" s="8" t="s">
        <v>35</v>
      </c>
      <c r="M1" s="8" t="s">
        <v>36</v>
      </c>
      <c r="N1" s="8" t="s">
        <v>37</v>
      </c>
      <c r="O1" s="8" t="s">
        <v>38</v>
      </c>
      <c r="P1" s="8" t="s">
        <v>39</v>
      </c>
      <c r="Q1" s="8" t="s">
        <v>40</v>
      </c>
      <c r="R1" s="8" t="s">
        <v>41</v>
      </c>
    </row>
    <row r="2" customFormat="false" ht="48" hidden="false" customHeight="true" outlineLevel="0" collapsed="false">
      <c r="A2" s="3" t="s">
        <v>42</v>
      </c>
      <c r="B2" s="14" t="n">
        <v>44951</v>
      </c>
      <c r="C2" s="15" t="s">
        <v>43</v>
      </c>
      <c r="D2" s="16" t="s">
        <v>19</v>
      </c>
      <c r="E2" s="15" t="s">
        <v>44</v>
      </c>
      <c r="F2" s="15" t="s">
        <v>12</v>
      </c>
      <c r="G2" s="16" t="s">
        <v>45</v>
      </c>
      <c r="H2" s="16" t="s">
        <v>46</v>
      </c>
      <c r="I2" s="17" t="n">
        <v>80000</v>
      </c>
      <c r="J2" s="11" t="n">
        <f aca="false">IF(I2="","",I2/INDEX(FX!$B$4:$B$7,MATCH(H2,FX!$A$4:$A$7,0)))</f>
        <v>909.090909090909</v>
      </c>
      <c r="K2" s="11" t="n">
        <f aca="false">IF(J2="","",J2*FX!$B$5/10)</f>
        <v>8000</v>
      </c>
      <c r="L2" s="10" t="n">
        <f aca="false">YEAR(B2)</f>
        <v>2023</v>
      </c>
      <c r="M2" s="16" t="s">
        <v>47</v>
      </c>
      <c r="N2" s="15" t="s">
        <v>48</v>
      </c>
      <c r="O2" s="15" t="s">
        <v>49</v>
      </c>
      <c r="P2" s="15" t="s">
        <v>50</v>
      </c>
      <c r="Q2" s="16" t="s">
        <v>51</v>
      </c>
      <c r="R2" s="18" t="s">
        <v>52</v>
      </c>
    </row>
    <row r="3" customFormat="false" ht="48" hidden="false" customHeight="true" outlineLevel="0" collapsed="false">
      <c r="A3" s="3" t="s">
        <v>53</v>
      </c>
      <c r="B3" s="14" t="n">
        <v>45295</v>
      </c>
      <c r="C3" s="15" t="s">
        <v>54</v>
      </c>
      <c r="D3" s="16" t="s">
        <v>21</v>
      </c>
      <c r="E3" s="15" t="s">
        <v>55</v>
      </c>
      <c r="F3" s="15" t="s">
        <v>12</v>
      </c>
      <c r="G3" s="16" t="s">
        <v>45</v>
      </c>
      <c r="H3" s="16" t="s">
        <v>56</v>
      </c>
      <c r="I3" s="17" t="n">
        <v>250</v>
      </c>
      <c r="J3" s="11" t="n">
        <f aca="false">IF(I3="","",I3/INDEX(FX!$B$4:$B$7,MATCH(H3,FX!$A$4:$A$7,0)))</f>
        <v>250</v>
      </c>
      <c r="K3" s="11" t="n">
        <f aca="false">IF(J3="","",J3*FX!$B$5/10)</f>
        <v>2200</v>
      </c>
      <c r="L3" s="10" t="n">
        <f aca="false">YEAR(B3)</f>
        <v>2024</v>
      </c>
      <c r="M3" s="16" t="s">
        <v>57</v>
      </c>
      <c r="N3" s="15" t="s">
        <v>58</v>
      </c>
      <c r="O3" s="15" t="s">
        <v>59</v>
      </c>
      <c r="P3" s="15" t="s">
        <v>60</v>
      </c>
      <c r="Q3" s="16" t="s">
        <v>51</v>
      </c>
      <c r="R3" s="18" t="s">
        <v>52</v>
      </c>
    </row>
    <row r="4" customFormat="false" ht="48" hidden="false" customHeight="true" outlineLevel="0" collapsed="false">
      <c r="A4" s="3" t="s">
        <v>61</v>
      </c>
      <c r="B4" s="14" t="n">
        <v>45463</v>
      </c>
      <c r="C4" s="15" t="s">
        <v>62</v>
      </c>
      <c r="D4" s="16" t="s">
        <v>22</v>
      </c>
      <c r="E4" s="15" t="s">
        <v>63</v>
      </c>
      <c r="F4" s="15" t="s">
        <v>16</v>
      </c>
      <c r="G4" s="16" t="s">
        <v>45</v>
      </c>
      <c r="H4" s="16" t="s">
        <v>56</v>
      </c>
      <c r="I4" s="17" t="n">
        <v>250</v>
      </c>
      <c r="J4" s="11" t="n">
        <f aca="false">IF(I4="","",I4/INDEX(FX!$B$4:$B$7,MATCH(H4,FX!$A$4:$A$7,0)))</f>
        <v>250</v>
      </c>
      <c r="K4" s="11" t="n">
        <f aca="false">IF(J4="","",J4*FX!$B$5/10)</f>
        <v>2200</v>
      </c>
      <c r="L4" s="10" t="n">
        <f aca="false">YEAR(B4)</f>
        <v>2024</v>
      </c>
      <c r="M4" s="16" t="s">
        <v>57</v>
      </c>
      <c r="N4" s="15" t="s">
        <v>64</v>
      </c>
      <c r="O4" s="15" t="s">
        <v>65</v>
      </c>
      <c r="P4" s="15" t="s">
        <v>66</v>
      </c>
      <c r="Q4" s="16" t="s">
        <v>67</v>
      </c>
      <c r="R4" s="18" t="s">
        <v>52</v>
      </c>
    </row>
    <row r="5" customFormat="false" ht="48" hidden="false" customHeight="true" outlineLevel="0" collapsed="false">
      <c r="A5" s="3" t="s">
        <v>68</v>
      </c>
      <c r="B5" s="14" t="n">
        <v>45536</v>
      </c>
      <c r="C5" s="15" t="s">
        <v>69</v>
      </c>
      <c r="D5" s="16" t="s">
        <v>22</v>
      </c>
      <c r="E5" s="15" t="s">
        <v>70</v>
      </c>
      <c r="F5" s="15" t="s">
        <v>15</v>
      </c>
      <c r="G5" s="16" t="s">
        <v>45</v>
      </c>
      <c r="H5" s="16" t="s">
        <v>71</v>
      </c>
      <c r="I5" s="17" t="n">
        <v>132</v>
      </c>
      <c r="J5" s="11" t="n">
        <f aca="false">IF(I5="","",I5/INDEX(FX!$B$4:$B$7,MATCH(H5,FX!$A$4:$A$7,0)))</f>
        <v>153.488372093023</v>
      </c>
      <c r="K5" s="11" t="n">
        <f aca="false">IF(J5="","",J5*FX!$B$5/10)</f>
        <v>1350.6976744186</v>
      </c>
      <c r="L5" s="10" t="n">
        <f aca="false">YEAR(B5)</f>
        <v>2024</v>
      </c>
      <c r="M5" s="16"/>
      <c r="N5" s="15"/>
      <c r="O5" s="15" t="s">
        <v>72</v>
      </c>
      <c r="P5" s="15" t="s">
        <v>73</v>
      </c>
      <c r="Q5" s="16" t="s">
        <v>67</v>
      </c>
      <c r="R5" s="18" t="s">
        <v>52</v>
      </c>
    </row>
    <row r="6" customFormat="false" ht="48" hidden="false" customHeight="true" outlineLevel="0" collapsed="false">
      <c r="A6" s="3" t="s">
        <v>74</v>
      </c>
      <c r="B6" s="14" t="n">
        <v>45536</v>
      </c>
      <c r="C6" s="15" t="s">
        <v>75</v>
      </c>
      <c r="D6" s="16" t="s">
        <v>21</v>
      </c>
      <c r="E6" s="15" t="s">
        <v>55</v>
      </c>
      <c r="F6" s="15" t="s">
        <v>15</v>
      </c>
      <c r="G6" s="16" t="s">
        <v>45</v>
      </c>
      <c r="H6" s="16" t="s">
        <v>56</v>
      </c>
      <c r="I6" s="17" t="n">
        <v>500</v>
      </c>
      <c r="J6" s="11" t="n">
        <f aca="false">IF(I6="","",I6/INDEX(FX!$B$4:$B$7,MATCH(H6,FX!$A$4:$A$7,0)))</f>
        <v>500</v>
      </c>
      <c r="K6" s="11" t="n">
        <f aca="false">IF(J6="","",J6*FX!$B$5/10)</f>
        <v>4400</v>
      </c>
      <c r="L6" s="10" t="n">
        <f aca="false">YEAR(B6)</f>
        <v>2024</v>
      </c>
      <c r="M6" s="16"/>
      <c r="N6" s="15"/>
      <c r="O6" s="15" t="s">
        <v>76</v>
      </c>
      <c r="P6" s="15" t="s">
        <v>77</v>
      </c>
      <c r="Q6" s="16" t="s">
        <v>67</v>
      </c>
      <c r="R6" s="18" t="s">
        <v>52</v>
      </c>
    </row>
    <row r="7" customFormat="false" ht="48" hidden="false" customHeight="true" outlineLevel="0" collapsed="false">
      <c r="A7" s="3" t="s">
        <v>78</v>
      </c>
      <c r="B7" s="14" t="n">
        <v>45562</v>
      </c>
      <c r="C7" s="15" t="s">
        <v>79</v>
      </c>
      <c r="D7" s="16" t="s">
        <v>20</v>
      </c>
      <c r="E7" s="15" t="s">
        <v>80</v>
      </c>
      <c r="F7" s="15" t="s">
        <v>12</v>
      </c>
      <c r="G7" s="16" t="s">
        <v>45</v>
      </c>
      <c r="H7" s="16" t="s">
        <v>56</v>
      </c>
      <c r="I7" s="17" t="n">
        <v>500</v>
      </c>
      <c r="J7" s="11" t="n">
        <f aca="false">IF(I7="","",I7/INDEX(FX!$B$4:$B$7,MATCH(H7,FX!$A$4:$A$7,0)))</f>
        <v>500</v>
      </c>
      <c r="K7" s="11" t="n">
        <f aca="false">IF(J7="","",J7*FX!$B$5/10)</f>
        <v>4400</v>
      </c>
      <c r="L7" s="10" t="n">
        <f aca="false">YEAR(B7)</f>
        <v>2024</v>
      </c>
      <c r="M7" s="16" t="s">
        <v>57</v>
      </c>
      <c r="N7" s="15" t="s">
        <v>81</v>
      </c>
      <c r="O7" s="15" t="s">
        <v>82</v>
      </c>
      <c r="P7" s="15" t="s">
        <v>83</v>
      </c>
      <c r="Q7" s="16" t="s">
        <v>51</v>
      </c>
      <c r="R7" s="18" t="s">
        <v>52</v>
      </c>
    </row>
    <row r="8" customFormat="false" ht="48" hidden="false" customHeight="true" outlineLevel="0" collapsed="false">
      <c r="A8" s="3" t="s">
        <v>84</v>
      </c>
      <c r="B8" s="14" t="n">
        <v>45658</v>
      </c>
      <c r="C8" s="15" t="s">
        <v>85</v>
      </c>
      <c r="D8" s="16" t="s">
        <v>20</v>
      </c>
      <c r="E8" s="15" t="s">
        <v>80</v>
      </c>
      <c r="F8" s="15" t="s">
        <v>15</v>
      </c>
      <c r="G8" s="16" t="s">
        <v>45</v>
      </c>
      <c r="H8" s="16" t="s">
        <v>86</v>
      </c>
      <c r="I8" s="17" t="n">
        <v>120000</v>
      </c>
      <c r="J8" s="11" t="n">
        <f aca="false">IF(I8="","",I8/INDEX(FX!$B$4:$B$7,MATCH(H8,FX!$A$4:$A$7,0)))</f>
        <v>800</v>
      </c>
      <c r="K8" s="11" t="n">
        <f aca="false">IF(J8="","",J8*FX!$B$5/10)</f>
        <v>7040</v>
      </c>
      <c r="L8" s="10" t="n">
        <f aca="false">YEAR(B8)</f>
        <v>2025</v>
      </c>
      <c r="M8" s="16"/>
      <c r="N8" s="15"/>
      <c r="O8" s="15" t="s">
        <v>87</v>
      </c>
      <c r="P8" s="15" t="s">
        <v>88</v>
      </c>
      <c r="Q8" s="16" t="s">
        <v>67</v>
      </c>
      <c r="R8" s="18" t="s">
        <v>52</v>
      </c>
    </row>
    <row r="9" customFormat="false" ht="48" hidden="false" customHeight="true" outlineLevel="0" collapsed="false">
      <c r="A9" s="3" t="s">
        <v>89</v>
      </c>
      <c r="B9" s="14" t="n">
        <v>45678</v>
      </c>
      <c r="C9" s="15" t="s">
        <v>90</v>
      </c>
      <c r="D9" s="16" t="s">
        <v>22</v>
      </c>
      <c r="E9" s="15" t="s">
        <v>91</v>
      </c>
      <c r="F9" s="15" t="s">
        <v>16</v>
      </c>
      <c r="G9" s="16" t="s">
        <v>45</v>
      </c>
      <c r="H9" s="16" t="s">
        <v>56</v>
      </c>
      <c r="I9" s="17" t="n">
        <v>100</v>
      </c>
      <c r="J9" s="11" t="n">
        <f aca="false">IF(I9="","",I9/INDEX(FX!$B$4:$B$7,MATCH(H9,FX!$A$4:$A$7,0)))</f>
        <v>100</v>
      </c>
      <c r="K9" s="11" t="n">
        <f aca="false">IF(J9="","",J9*FX!$B$5/10)</f>
        <v>880</v>
      </c>
      <c r="L9" s="10" t="n">
        <f aca="false">YEAR(B9)</f>
        <v>2025</v>
      </c>
      <c r="M9" s="16"/>
      <c r="N9" s="15"/>
      <c r="O9" s="15" t="s">
        <v>76</v>
      </c>
      <c r="P9" s="15" t="s">
        <v>92</v>
      </c>
      <c r="Q9" s="16" t="s">
        <v>67</v>
      </c>
      <c r="R9" s="18" t="s">
        <v>52</v>
      </c>
    </row>
    <row r="10" customFormat="false" ht="48" hidden="false" customHeight="true" outlineLevel="0" collapsed="false">
      <c r="A10" s="3" t="s">
        <v>93</v>
      </c>
      <c r="B10" s="14" t="n">
        <v>45688</v>
      </c>
      <c r="C10" s="15" t="s">
        <v>43</v>
      </c>
      <c r="D10" s="16" t="s">
        <v>19</v>
      </c>
      <c r="E10" s="15" t="s">
        <v>44</v>
      </c>
      <c r="F10" s="15" t="s">
        <v>12</v>
      </c>
      <c r="G10" s="16" t="s">
        <v>45</v>
      </c>
      <c r="H10" s="16" t="s">
        <v>46</v>
      </c>
      <c r="I10" s="17" t="n">
        <v>39450</v>
      </c>
      <c r="J10" s="11" t="n">
        <f aca="false">IF(I10="","",I10/INDEX(FX!$B$4:$B$7,MATCH(H10,FX!$A$4:$A$7,0)))</f>
        <v>448.295454545455</v>
      </c>
      <c r="K10" s="11" t="n">
        <f aca="false">IF(J10="","",J10*FX!$B$5/10)</f>
        <v>3945</v>
      </c>
      <c r="L10" s="10" t="n">
        <f aca="false">YEAR(B10)</f>
        <v>2025</v>
      </c>
      <c r="M10" s="16" t="s">
        <v>94</v>
      </c>
      <c r="N10" s="15"/>
      <c r="O10" s="15" t="s">
        <v>95</v>
      </c>
      <c r="P10" s="15" t="s">
        <v>96</v>
      </c>
      <c r="Q10" s="16" t="s">
        <v>97</v>
      </c>
      <c r="R10" s="18" t="s">
        <v>52</v>
      </c>
    </row>
    <row r="11" customFormat="false" ht="48" hidden="false" customHeight="true" outlineLevel="0" collapsed="false">
      <c r="A11" s="3" t="s">
        <v>98</v>
      </c>
      <c r="B11" s="14" t="n">
        <v>45689</v>
      </c>
      <c r="C11" s="15" t="s">
        <v>99</v>
      </c>
      <c r="D11" s="16" t="s">
        <v>20</v>
      </c>
      <c r="E11" s="15" t="s">
        <v>100</v>
      </c>
      <c r="F11" s="15" t="s">
        <v>15</v>
      </c>
      <c r="G11" s="16" t="s">
        <v>45</v>
      </c>
      <c r="H11" s="16" t="s">
        <v>56</v>
      </c>
      <c r="I11" s="17" t="n">
        <v>100</v>
      </c>
      <c r="J11" s="11" t="n">
        <f aca="false">IF(I11="","",I11/INDEX(FX!$B$4:$B$7,MATCH(H11,FX!$A$4:$A$7,0)))</f>
        <v>100</v>
      </c>
      <c r="K11" s="11" t="n">
        <f aca="false">IF(J11="","",J11*FX!$B$5/10)</f>
        <v>880</v>
      </c>
      <c r="L11" s="10" t="n">
        <f aca="false">YEAR(B11)</f>
        <v>2025</v>
      </c>
      <c r="M11" s="16"/>
      <c r="N11" s="15"/>
      <c r="O11" s="15" t="s">
        <v>101</v>
      </c>
      <c r="P11" s="15" t="s">
        <v>102</v>
      </c>
      <c r="Q11" s="16" t="s">
        <v>67</v>
      </c>
      <c r="R11" s="18" t="s">
        <v>52</v>
      </c>
    </row>
    <row r="12" customFormat="false" ht="48" hidden="false" customHeight="true" outlineLevel="0" collapsed="false">
      <c r="A12" s="3" t="s">
        <v>103</v>
      </c>
      <c r="B12" s="14" t="n">
        <v>45737</v>
      </c>
      <c r="C12" s="15" t="s">
        <v>104</v>
      </c>
      <c r="D12" s="16" t="s">
        <v>20</v>
      </c>
      <c r="E12" s="15" t="s">
        <v>105</v>
      </c>
      <c r="F12" s="15" t="s">
        <v>12</v>
      </c>
      <c r="G12" s="16" t="s">
        <v>106</v>
      </c>
      <c r="H12" s="16" t="s">
        <v>46</v>
      </c>
      <c r="I12" s="17" t="n">
        <v>12470</v>
      </c>
      <c r="J12" s="11" t="n">
        <f aca="false">IF(I12="","",I12/INDEX(FX!$B$4:$B$7,MATCH(H12,FX!$A$4:$A$7,0)))</f>
        <v>141.704545454545</v>
      </c>
      <c r="K12" s="11" t="n">
        <f aca="false">IF(J12="","",J12*FX!$B$5/10)</f>
        <v>1247</v>
      </c>
      <c r="L12" s="10" t="n">
        <f aca="false">YEAR(B12)</f>
        <v>2025</v>
      </c>
      <c r="M12" s="16" t="s">
        <v>107</v>
      </c>
      <c r="N12" s="15" t="s">
        <v>108</v>
      </c>
      <c r="O12" s="15" t="s">
        <v>109</v>
      </c>
      <c r="P12" s="15" t="s">
        <v>110</v>
      </c>
      <c r="Q12" s="16" t="s">
        <v>51</v>
      </c>
      <c r="R12" s="18" t="s">
        <v>52</v>
      </c>
    </row>
    <row r="13" customFormat="false" ht="48" hidden="false" customHeight="true" outlineLevel="0" collapsed="false">
      <c r="A13" s="3" t="s">
        <v>111</v>
      </c>
      <c r="B13" s="14" t="n">
        <v>45741</v>
      </c>
      <c r="C13" s="15" t="s">
        <v>104</v>
      </c>
      <c r="D13" s="16" t="s">
        <v>20</v>
      </c>
      <c r="E13" s="15" t="s">
        <v>105</v>
      </c>
      <c r="F13" s="15" t="s">
        <v>12</v>
      </c>
      <c r="G13" s="16" t="s">
        <v>106</v>
      </c>
      <c r="H13" s="16" t="s">
        <v>46</v>
      </c>
      <c r="I13" s="17" t="n">
        <v>9100</v>
      </c>
      <c r="J13" s="11" t="n">
        <f aca="false">IF(I13="","",I13/INDEX(FX!$B$4:$B$7,MATCH(H13,FX!$A$4:$A$7,0)))</f>
        <v>103.409090909091</v>
      </c>
      <c r="K13" s="11" t="n">
        <f aca="false">IF(J13="","",J13*FX!$B$5/10)</f>
        <v>910</v>
      </c>
      <c r="L13" s="10" t="n">
        <f aca="false">YEAR(B13)</f>
        <v>2025</v>
      </c>
      <c r="M13" s="16" t="s">
        <v>94</v>
      </c>
      <c r="N13" s="15" t="s">
        <v>112</v>
      </c>
      <c r="O13" s="15" t="s">
        <v>109</v>
      </c>
      <c r="P13" s="15" t="s">
        <v>113</v>
      </c>
      <c r="Q13" s="16" t="s">
        <v>51</v>
      </c>
      <c r="R13" s="18" t="s">
        <v>52</v>
      </c>
    </row>
    <row r="14" customFormat="false" ht="48" hidden="false" customHeight="true" outlineLevel="0" collapsed="false">
      <c r="A14" s="3" t="s">
        <v>114</v>
      </c>
      <c r="B14" s="14" t="n">
        <v>45748</v>
      </c>
      <c r="C14" s="15" t="s">
        <v>115</v>
      </c>
      <c r="D14" s="16" t="s">
        <v>23</v>
      </c>
      <c r="E14" s="15" t="s">
        <v>116</v>
      </c>
      <c r="F14" s="15" t="s">
        <v>12</v>
      </c>
      <c r="G14" s="16" t="s">
        <v>45</v>
      </c>
      <c r="H14" s="16" t="s">
        <v>46</v>
      </c>
      <c r="I14" s="17" t="n">
        <v>1500</v>
      </c>
      <c r="J14" s="11" t="n">
        <f aca="false">IF(I14="","",I14/INDEX(FX!$B$4:$B$7,MATCH(H14,FX!$A$4:$A$7,0)))</f>
        <v>17.0454545454545</v>
      </c>
      <c r="K14" s="11" t="n">
        <f aca="false">IF(J14="","",J14*FX!$B$5/10)</f>
        <v>150</v>
      </c>
      <c r="L14" s="10" t="n">
        <f aca="false">YEAR(B14)</f>
        <v>2025</v>
      </c>
      <c r="M14" s="16"/>
      <c r="N14" s="15"/>
      <c r="O14" s="15" t="s">
        <v>117</v>
      </c>
      <c r="P14" s="15" t="s">
        <v>118</v>
      </c>
      <c r="Q14" s="16" t="s">
        <v>51</v>
      </c>
      <c r="R14" s="18" t="s">
        <v>52</v>
      </c>
    </row>
    <row r="15" customFormat="false" ht="48" hidden="false" customHeight="true" outlineLevel="0" collapsed="false">
      <c r="A15" s="3" t="s">
        <v>119</v>
      </c>
      <c r="B15" s="14" t="n">
        <v>45809</v>
      </c>
      <c r="C15" s="15" t="s">
        <v>120</v>
      </c>
      <c r="D15" s="16" t="s">
        <v>22</v>
      </c>
      <c r="E15" s="15" t="s">
        <v>70</v>
      </c>
      <c r="F15" s="15" t="s">
        <v>15</v>
      </c>
      <c r="G15" s="16" t="s">
        <v>45</v>
      </c>
      <c r="H15" s="16" t="s">
        <v>56</v>
      </c>
      <c r="I15" s="17" t="n">
        <v>100</v>
      </c>
      <c r="J15" s="11" t="n">
        <f aca="false">IF(I15="","",I15/INDEX(FX!$B$4:$B$7,MATCH(H15,FX!$A$4:$A$7,0)))</f>
        <v>100</v>
      </c>
      <c r="K15" s="11" t="n">
        <f aca="false">IF(J15="","",J15*FX!$B$5/10)</f>
        <v>880</v>
      </c>
      <c r="L15" s="10" t="n">
        <f aca="false">YEAR(B15)</f>
        <v>2025</v>
      </c>
      <c r="M15" s="16"/>
      <c r="N15" s="15"/>
      <c r="O15" s="15" t="s">
        <v>121</v>
      </c>
      <c r="P15" s="15" t="s">
        <v>122</v>
      </c>
      <c r="Q15" s="16" t="s">
        <v>67</v>
      </c>
      <c r="R15" s="18" t="s">
        <v>52</v>
      </c>
    </row>
    <row r="16" customFormat="false" ht="48" hidden="false" customHeight="true" outlineLevel="0" collapsed="false">
      <c r="A16" s="3" t="s">
        <v>123</v>
      </c>
      <c r="B16" s="14" t="n">
        <v>45809</v>
      </c>
      <c r="C16" s="15" t="s">
        <v>124</v>
      </c>
      <c r="D16" s="16" t="s">
        <v>23</v>
      </c>
      <c r="E16" s="15" t="s">
        <v>125</v>
      </c>
      <c r="F16" s="15" t="s">
        <v>12</v>
      </c>
      <c r="G16" s="16" t="s">
        <v>45</v>
      </c>
      <c r="H16" s="16" t="s">
        <v>46</v>
      </c>
      <c r="I16" s="17" t="n">
        <v>2000</v>
      </c>
      <c r="J16" s="11" t="n">
        <f aca="false">IF(I16="","",I16/INDEX(FX!$B$4:$B$7,MATCH(H16,FX!$A$4:$A$7,0)))</f>
        <v>22.7272727272727</v>
      </c>
      <c r="K16" s="11" t="n">
        <f aca="false">IF(J16="","",J16*FX!$B$5/10)</f>
        <v>200</v>
      </c>
      <c r="L16" s="10" t="n">
        <f aca="false">YEAR(B16)</f>
        <v>2025</v>
      </c>
      <c r="M16" s="16"/>
      <c r="N16" s="15"/>
      <c r="O16" s="15" t="s">
        <v>126</v>
      </c>
      <c r="P16" s="15" t="s">
        <v>127</v>
      </c>
      <c r="Q16" s="16" t="s">
        <v>51</v>
      </c>
      <c r="R16" s="18" t="s">
        <v>52</v>
      </c>
    </row>
    <row r="17" customFormat="false" ht="48" hidden="false" customHeight="true" outlineLevel="0" collapsed="false">
      <c r="A17" s="3" t="s">
        <v>128</v>
      </c>
      <c r="B17" s="14" t="n">
        <v>45809</v>
      </c>
      <c r="C17" s="15" t="s">
        <v>129</v>
      </c>
      <c r="D17" s="16" t="s">
        <v>22</v>
      </c>
      <c r="E17" s="15" t="s">
        <v>130</v>
      </c>
      <c r="F17" s="15" t="s">
        <v>13</v>
      </c>
      <c r="G17" s="16" t="s">
        <v>45</v>
      </c>
      <c r="H17" s="16" t="s">
        <v>46</v>
      </c>
      <c r="I17" s="17" t="n">
        <v>5000</v>
      </c>
      <c r="J17" s="11" t="n">
        <f aca="false">IF(I17="","",I17/INDEX(FX!$B$4:$B$7,MATCH(H17,FX!$A$4:$A$7,0)))</f>
        <v>56.8181818181818</v>
      </c>
      <c r="K17" s="11" t="n">
        <f aca="false">IF(J17="","",J17*FX!$B$5/10)</f>
        <v>500</v>
      </c>
      <c r="L17" s="10" t="n">
        <f aca="false">YEAR(B17)</f>
        <v>2025</v>
      </c>
      <c r="M17" s="16" t="s">
        <v>131</v>
      </c>
      <c r="N17" s="15" t="s">
        <v>132</v>
      </c>
      <c r="O17" s="15" t="s">
        <v>133</v>
      </c>
      <c r="P17" s="15" t="s">
        <v>134</v>
      </c>
      <c r="Q17" s="16" t="s">
        <v>51</v>
      </c>
      <c r="R17" s="18" t="s">
        <v>52</v>
      </c>
    </row>
    <row r="18" customFormat="false" ht="48" hidden="false" customHeight="true" outlineLevel="0" collapsed="false">
      <c r="A18" s="3" t="s">
        <v>135</v>
      </c>
      <c r="B18" s="14" t="n">
        <v>45809</v>
      </c>
      <c r="C18" s="15" t="s">
        <v>136</v>
      </c>
      <c r="D18" s="16" t="s">
        <v>22</v>
      </c>
      <c r="E18" s="15" t="s">
        <v>137</v>
      </c>
      <c r="F18" s="15" t="s">
        <v>15</v>
      </c>
      <c r="G18" s="16" t="s">
        <v>45</v>
      </c>
      <c r="H18" s="16" t="s">
        <v>56</v>
      </c>
      <c r="I18" s="17" t="n">
        <v>55</v>
      </c>
      <c r="J18" s="11" t="n">
        <f aca="false">IF(I18="","",I18/INDEX(FX!$B$4:$B$7,MATCH(H18,FX!$A$4:$A$7,0)))</f>
        <v>55</v>
      </c>
      <c r="K18" s="11" t="n">
        <f aca="false">IF(J18="","",J18*FX!$B$5/10)</f>
        <v>484</v>
      </c>
      <c r="L18" s="10" t="n">
        <f aca="false">YEAR(B18)</f>
        <v>2025</v>
      </c>
      <c r="M18" s="16"/>
      <c r="N18" s="15" t="s">
        <v>138</v>
      </c>
      <c r="O18" s="15" t="s">
        <v>139</v>
      </c>
      <c r="P18" s="15" t="s">
        <v>140</v>
      </c>
      <c r="Q18" s="16" t="s">
        <v>67</v>
      </c>
      <c r="R18" s="18" t="s">
        <v>52</v>
      </c>
    </row>
    <row r="19" customFormat="false" ht="48" hidden="false" customHeight="true" outlineLevel="0" collapsed="false">
      <c r="A19" s="3" t="s">
        <v>141</v>
      </c>
      <c r="B19" s="14" t="n">
        <v>45821</v>
      </c>
      <c r="C19" s="15" t="s">
        <v>43</v>
      </c>
      <c r="D19" s="16" t="s">
        <v>19</v>
      </c>
      <c r="E19" s="15" t="s">
        <v>44</v>
      </c>
      <c r="F19" s="15" t="s">
        <v>12</v>
      </c>
      <c r="G19" s="16" t="s">
        <v>45</v>
      </c>
      <c r="H19" s="16" t="s">
        <v>46</v>
      </c>
      <c r="I19" s="17" t="n">
        <v>0</v>
      </c>
      <c r="J19" s="11" t="n">
        <f aca="false">IF(I19="","",I19/INDEX(FX!$B$4:$B$7,MATCH(H19,FX!$A$4:$A$7,0)))</f>
        <v>0</v>
      </c>
      <c r="K19" s="11" t="n">
        <f aca="false">IF(J19="","",J19*FX!$B$5/10)</f>
        <v>0</v>
      </c>
      <c r="L19" s="10" t="n">
        <f aca="false">YEAR(B19)</f>
        <v>2025</v>
      </c>
      <c r="M19" s="16" t="s">
        <v>142</v>
      </c>
      <c r="N19" s="15" t="s">
        <v>143</v>
      </c>
      <c r="O19" s="15" t="s">
        <v>49</v>
      </c>
      <c r="P19" s="15" t="s">
        <v>144</v>
      </c>
      <c r="Q19" s="16" t="s">
        <v>145</v>
      </c>
      <c r="R19" s="18" t="s">
        <v>52</v>
      </c>
    </row>
    <row r="20" customFormat="false" ht="48" hidden="false" customHeight="true" outlineLevel="0" collapsed="false">
      <c r="A20" s="3" t="s">
        <v>146</v>
      </c>
      <c r="B20" s="14" t="n">
        <v>45870</v>
      </c>
      <c r="C20" s="15" t="s">
        <v>147</v>
      </c>
      <c r="D20" s="16" t="s">
        <v>22</v>
      </c>
      <c r="E20" s="15" t="s">
        <v>148</v>
      </c>
      <c r="F20" s="15" t="s">
        <v>12</v>
      </c>
      <c r="G20" s="16" t="s">
        <v>45</v>
      </c>
      <c r="H20" s="16" t="s">
        <v>46</v>
      </c>
      <c r="I20" s="17" t="n">
        <v>13010</v>
      </c>
      <c r="J20" s="11" t="n">
        <f aca="false">IF(I20="","",I20/INDEX(FX!$B$4:$B$7,MATCH(H20,FX!$A$4:$A$7,0)))</f>
        <v>147.840909090909</v>
      </c>
      <c r="K20" s="11" t="n">
        <f aca="false">IF(J20="","",J20*FX!$B$5/10)</f>
        <v>1301</v>
      </c>
      <c r="L20" s="10" t="n">
        <f aca="false">YEAR(B20)</f>
        <v>2025</v>
      </c>
      <c r="M20" s="16"/>
      <c r="N20" s="15"/>
      <c r="O20" s="15" t="s">
        <v>149</v>
      </c>
      <c r="P20" s="15" t="s">
        <v>150</v>
      </c>
      <c r="Q20" s="16" t="s">
        <v>51</v>
      </c>
      <c r="R20" s="18" t="s">
        <v>52</v>
      </c>
    </row>
    <row r="21" customFormat="false" ht="48" hidden="false" customHeight="true" outlineLevel="0" collapsed="false">
      <c r="A21" s="3" t="s">
        <v>151</v>
      </c>
      <c r="B21" s="14" t="n">
        <v>45929</v>
      </c>
      <c r="C21" s="15" t="s">
        <v>129</v>
      </c>
      <c r="D21" s="16" t="s">
        <v>22</v>
      </c>
      <c r="E21" s="15" t="s">
        <v>130</v>
      </c>
      <c r="F21" s="15" t="s">
        <v>16</v>
      </c>
      <c r="G21" s="16" t="s">
        <v>45</v>
      </c>
      <c r="H21" s="16" t="s">
        <v>56</v>
      </c>
      <c r="I21" s="17" t="n">
        <v>700</v>
      </c>
      <c r="J21" s="11" t="n">
        <f aca="false">IF(I21="","",I21/INDEX(FX!$B$4:$B$7,MATCH(H21,FX!$A$4:$A$7,0)))</f>
        <v>700</v>
      </c>
      <c r="K21" s="11" t="n">
        <f aca="false">IF(J21="","",J21*FX!$B$5/10)</f>
        <v>6160</v>
      </c>
      <c r="L21" s="10" t="n">
        <f aca="false">YEAR(B21)</f>
        <v>2025</v>
      </c>
      <c r="M21" s="16"/>
      <c r="N21" s="15" t="s">
        <v>152</v>
      </c>
      <c r="O21" s="15" t="s">
        <v>153</v>
      </c>
      <c r="P21" s="15" t="s">
        <v>154</v>
      </c>
      <c r="Q21" s="16" t="s">
        <v>67</v>
      </c>
      <c r="R21" s="18" t="s">
        <v>52</v>
      </c>
    </row>
    <row r="22" customFormat="false" ht="48" hidden="false" customHeight="true" outlineLevel="0" collapsed="false">
      <c r="A22" s="3" t="s">
        <v>155</v>
      </c>
      <c r="B22" s="14" t="n">
        <v>45936</v>
      </c>
      <c r="C22" s="15" t="s">
        <v>156</v>
      </c>
      <c r="D22" s="16" t="s">
        <v>23</v>
      </c>
      <c r="E22" s="15" t="s">
        <v>157</v>
      </c>
      <c r="F22" s="15" t="s">
        <v>12</v>
      </c>
      <c r="G22" s="16" t="s">
        <v>45</v>
      </c>
      <c r="H22" s="16" t="s">
        <v>46</v>
      </c>
      <c r="I22" s="17" t="n">
        <v>1000</v>
      </c>
      <c r="J22" s="11" t="n">
        <f aca="false">IF(I22="","",I22/INDEX(FX!$B$4:$B$7,MATCH(H22,FX!$A$4:$A$7,0)))</f>
        <v>11.3636363636364</v>
      </c>
      <c r="K22" s="11" t="n">
        <f aca="false">IF(J22="","",J22*FX!$B$5/10)</f>
        <v>100</v>
      </c>
      <c r="L22" s="10" t="n">
        <f aca="false">YEAR(B22)</f>
        <v>2025</v>
      </c>
      <c r="M22" s="16" t="s">
        <v>158</v>
      </c>
      <c r="N22" s="15" t="s">
        <v>159</v>
      </c>
      <c r="O22" s="15" t="s">
        <v>160</v>
      </c>
      <c r="P22" s="15" t="s">
        <v>161</v>
      </c>
      <c r="Q22" s="16" t="s">
        <v>51</v>
      </c>
      <c r="R22" s="18" t="s">
        <v>52</v>
      </c>
    </row>
    <row r="23" customFormat="false" ht="48" hidden="false" customHeight="true" outlineLevel="0" collapsed="false">
      <c r="A23" s="3" t="s">
        <v>162</v>
      </c>
      <c r="B23" s="14" t="n">
        <v>46136</v>
      </c>
      <c r="C23" s="15" t="s">
        <v>43</v>
      </c>
      <c r="D23" s="16" t="s">
        <v>19</v>
      </c>
      <c r="E23" s="15" t="s">
        <v>44</v>
      </c>
      <c r="F23" s="15" t="s">
        <v>12</v>
      </c>
      <c r="G23" s="16" t="s">
        <v>45</v>
      </c>
      <c r="H23" s="16" t="s">
        <v>46</v>
      </c>
      <c r="I23" s="17"/>
      <c r="J23" s="11" t="str">
        <f aca="false">IF(I23="","",I23/INDEX(FX!$B$4:$B$7,MATCH(H23,FX!$A$4:$A$7,0)))</f>
        <v/>
      </c>
      <c r="K23" s="11" t="str">
        <f aca="false">IF(J23="","",J23*FX!$B$5/10)</f>
        <v/>
      </c>
      <c r="L23" s="10" t="n">
        <f aca="false">YEAR(B23)</f>
        <v>2026</v>
      </c>
      <c r="M23" s="16" t="s">
        <v>142</v>
      </c>
      <c r="N23" s="15" t="s">
        <v>163</v>
      </c>
      <c r="O23" s="15" t="s">
        <v>164</v>
      </c>
      <c r="P23" s="15" t="s">
        <v>165</v>
      </c>
      <c r="Q23" s="16" t="s">
        <v>51</v>
      </c>
      <c r="R23" s="18" t="s">
        <v>52</v>
      </c>
    </row>
    <row r="24" customFormat="false" ht="48" hidden="false" customHeight="true" outlineLevel="0" collapsed="false">
      <c r="A24" s="3" t="s">
        <v>166</v>
      </c>
      <c r="B24" s="14" t="n">
        <v>46248</v>
      </c>
      <c r="C24" s="15" t="s">
        <v>43</v>
      </c>
      <c r="D24" s="16" t="s">
        <v>19</v>
      </c>
      <c r="E24" s="15" t="s">
        <v>44</v>
      </c>
      <c r="F24" s="15" t="s">
        <v>12</v>
      </c>
      <c r="G24" s="16" t="s">
        <v>45</v>
      </c>
      <c r="H24" s="16" t="s">
        <v>46</v>
      </c>
      <c r="I24" s="17" t="n">
        <v>50000</v>
      </c>
      <c r="J24" s="11" t="n">
        <f aca="false">IF(I24="","",I24/INDEX(FX!$B$4:$B$7,MATCH(H24,FX!$A$4:$A$7,0)))</f>
        <v>568.181818181818</v>
      </c>
      <c r="K24" s="11" t="n">
        <f aca="false">IF(J24="","",J24*FX!$B$5/10)</f>
        <v>5000</v>
      </c>
      <c r="L24" s="10" t="n">
        <f aca="false">YEAR(B24)</f>
        <v>2026</v>
      </c>
      <c r="M24" s="16" t="s">
        <v>142</v>
      </c>
      <c r="N24" s="15" t="s">
        <v>167</v>
      </c>
      <c r="O24" s="15" t="s">
        <v>49</v>
      </c>
      <c r="P24" s="15" t="s">
        <v>168</v>
      </c>
      <c r="Q24" s="16" t="s">
        <v>51</v>
      </c>
      <c r="R24" s="18" t="s">
        <v>52</v>
      </c>
    </row>
    <row r="25" customFormat="false" ht="48" hidden="false" customHeight="true" outlineLevel="0" collapsed="false">
      <c r="A25" s="3" t="s">
        <v>169</v>
      </c>
      <c r="B25" s="14" t="n">
        <v>46296</v>
      </c>
      <c r="C25" s="15" t="s">
        <v>43</v>
      </c>
      <c r="D25" s="16" t="s">
        <v>19</v>
      </c>
      <c r="E25" s="15" t="s">
        <v>44</v>
      </c>
      <c r="F25" s="15" t="s">
        <v>12</v>
      </c>
      <c r="G25" s="16" t="s">
        <v>45</v>
      </c>
      <c r="H25" s="16" t="s">
        <v>46</v>
      </c>
      <c r="I25" s="17" t="n">
        <v>150000</v>
      </c>
      <c r="J25" s="11" t="n">
        <f aca="false">IF(I25="","",I25/INDEX(FX!$B$4:$B$7,MATCH(H25,FX!$A$4:$A$7,0)))</f>
        <v>1704.54545454545</v>
      </c>
      <c r="K25" s="11" t="n">
        <f aca="false">IF(J25="","",J25*FX!$B$5/10)</f>
        <v>15000</v>
      </c>
      <c r="L25" s="10" t="n">
        <f aca="false">YEAR(B25)</f>
        <v>2026</v>
      </c>
      <c r="M25" s="16" t="s">
        <v>142</v>
      </c>
      <c r="N25" s="15" t="s">
        <v>170</v>
      </c>
      <c r="O25" s="15" t="s">
        <v>171</v>
      </c>
      <c r="P25" s="15" t="s">
        <v>172</v>
      </c>
      <c r="Q25" s="16" t="s">
        <v>173</v>
      </c>
      <c r="R25" s="18" t="s">
        <v>52</v>
      </c>
    </row>
    <row r="26" customFormat="false" ht="48" hidden="false" customHeight="true" outlineLevel="0" collapsed="false">
      <c r="A26" s="3" t="s">
        <v>174</v>
      </c>
      <c r="B26" s="14" t="n">
        <v>46308</v>
      </c>
      <c r="C26" s="15" t="s">
        <v>175</v>
      </c>
      <c r="D26" s="16" t="s">
        <v>22</v>
      </c>
      <c r="E26" s="15" t="s">
        <v>70</v>
      </c>
      <c r="F26" s="15" t="s">
        <v>15</v>
      </c>
      <c r="G26" s="16" t="s">
        <v>45</v>
      </c>
      <c r="H26" s="16" t="s">
        <v>56</v>
      </c>
      <c r="I26" s="17" t="n">
        <v>100</v>
      </c>
      <c r="J26" s="11" t="n">
        <f aca="false">IF(I26="","",I26/INDEX(FX!$B$4:$B$7,MATCH(H26,FX!$A$4:$A$7,0)))</f>
        <v>100</v>
      </c>
      <c r="K26" s="11" t="n">
        <f aca="false">IF(J26="","",J26*FX!$B$5/10)</f>
        <v>880</v>
      </c>
      <c r="L26" s="10" t="n">
        <f aca="false">YEAR(B26)</f>
        <v>2026</v>
      </c>
      <c r="M26" s="16" t="s">
        <v>94</v>
      </c>
      <c r="N26" s="15" t="s">
        <v>176</v>
      </c>
      <c r="O26" s="15" t="s">
        <v>177</v>
      </c>
      <c r="P26" s="15" t="s">
        <v>178</v>
      </c>
      <c r="Q26" s="16" t="s">
        <v>67</v>
      </c>
      <c r="R26" s="18" t="s">
        <v>52</v>
      </c>
    </row>
    <row r="27" customFormat="false" ht="15" hidden="false" customHeight="false" outlineLevel="0" collapsed="false">
      <c r="A27" s="15"/>
      <c r="B27" s="15"/>
      <c r="C27" s="15"/>
      <c r="D27" s="15"/>
      <c r="E27" s="15"/>
      <c r="F27" s="15"/>
      <c r="G27" s="15"/>
      <c r="H27" s="15"/>
      <c r="I27" s="15"/>
      <c r="J27" s="19" t="str">
        <f aca="false">IF(I27="","",I27/INDEX(FX!$B$4:$B$7,MATCH(H27,FX!$A$4:$A$7,0)))</f>
        <v/>
      </c>
      <c r="K27" s="19" t="str">
        <f aca="false">IF(J27="","",J27*FX!$B$5/10)</f>
        <v/>
      </c>
      <c r="L27" s="9" t="str">
        <f aca="false">IF(B27="","",YEAR(B27))</f>
        <v/>
      </c>
      <c r="M27" s="15"/>
      <c r="N27" s="15"/>
      <c r="O27" s="15"/>
      <c r="P27" s="15"/>
      <c r="Q27" s="15"/>
      <c r="R27" s="15"/>
    </row>
    <row r="28" customFormat="false" ht="15" hidden="false" customHeight="false" outlineLevel="0" collapsed="false">
      <c r="A28" s="15"/>
      <c r="B28" s="15"/>
      <c r="C28" s="15"/>
      <c r="D28" s="15"/>
      <c r="E28" s="15"/>
      <c r="F28" s="15"/>
      <c r="G28" s="15"/>
      <c r="H28" s="15"/>
      <c r="I28" s="15"/>
      <c r="J28" s="19" t="str">
        <f aca="false">IF(I28="","",I28/INDEX(FX!$B$4:$B$7,MATCH(H28,FX!$A$4:$A$7,0)))</f>
        <v/>
      </c>
      <c r="K28" s="19" t="str">
        <f aca="false">IF(J28="","",J28*FX!$B$5/10)</f>
        <v/>
      </c>
      <c r="L28" s="9" t="str">
        <f aca="false">IF(B28="","",YEAR(B28))</f>
        <v/>
      </c>
      <c r="M28" s="15"/>
      <c r="N28" s="15"/>
      <c r="O28" s="15"/>
      <c r="P28" s="15"/>
      <c r="Q28" s="15"/>
      <c r="R28" s="15"/>
    </row>
    <row r="29" customFormat="false" ht="15" hidden="false" customHeight="false" outlineLevel="0" collapsed="false">
      <c r="A29" s="15"/>
      <c r="B29" s="15"/>
      <c r="C29" s="15"/>
      <c r="D29" s="15"/>
      <c r="E29" s="15"/>
      <c r="F29" s="15"/>
      <c r="G29" s="15"/>
      <c r="H29" s="15"/>
      <c r="I29" s="15"/>
      <c r="J29" s="19" t="str">
        <f aca="false">IF(I29="","",I29/INDEX(FX!$B$4:$B$7,MATCH(H29,FX!$A$4:$A$7,0)))</f>
        <v/>
      </c>
      <c r="K29" s="19" t="str">
        <f aca="false">IF(J29="","",J29*FX!$B$5/10)</f>
        <v/>
      </c>
      <c r="L29" s="9" t="str">
        <f aca="false">IF(B29="","",YEAR(B29))</f>
        <v/>
      </c>
      <c r="M29" s="15"/>
      <c r="N29" s="15"/>
      <c r="O29" s="15"/>
      <c r="P29" s="15"/>
      <c r="Q29" s="15"/>
      <c r="R29" s="15"/>
    </row>
    <row r="30" customFormat="false" ht="15" hidden="false" customHeight="false" outlineLevel="0" collapsed="false">
      <c r="A30" s="15"/>
      <c r="B30" s="15"/>
      <c r="C30" s="15"/>
      <c r="D30" s="15"/>
      <c r="E30" s="15"/>
      <c r="F30" s="15"/>
      <c r="G30" s="15"/>
      <c r="H30" s="15"/>
      <c r="I30" s="15"/>
      <c r="J30" s="19" t="str">
        <f aca="false">IF(I30="","",I30/INDEX(FX!$B$4:$B$7,MATCH(H30,FX!$A$4:$A$7,0)))</f>
        <v/>
      </c>
      <c r="K30" s="19" t="str">
        <f aca="false">IF(J30="","",J30*FX!$B$5/10)</f>
        <v/>
      </c>
      <c r="L30" s="9" t="str">
        <f aca="false">IF(B30="","",YEAR(B30))</f>
        <v/>
      </c>
      <c r="M30" s="15"/>
      <c r="N30" s="15"/>
      <c r="O30" s="15"/>
      <c r="P30" s="15"/>
      <c r="Q30" s="15"/>
      <c r="R30" s="15"/>
    </row>
    <row r="31" customFormat="false" ht="15" hidden="false" customHeight="false" outlineLevel="0" collapsed="false">
      <c r="A31" s="15"/>
      <c r="B31" s="15"/>
      <c r="C31" s="15"/>
      <c r="D31" s="15"/>
      <c r="E31" s="15"/>
      <c r="F31" s="15"/>
      <c r="G31" s="15"/>
      <c r="H31" s="15"/>
      <c r="I31" s="15"/>
      <c r="J31" s="19" t="str">
        <f aca="false">IF(I31="","",I31/INDEX(FX!$B$4:$B$7,MATCH(H31,FX!$A$4:$A$7,0)))</f>
        <v/>
      </c>
      <c r="K31" s="19" t="str">
        <f aca="false">IF(J31="","",J31*FX!$B$5/10)</f>
        <v/>
      </c>
      <c r="L31" s="9" t="str">
        <f aca="false">IF(B31="","",YEAR(B31))</f>
        <v/>
      </c>
      <c r="M31" s="15"/>
      <c r="N31" s="15"/>
      <c r="O31" s="15"/>
      <c r="P31" s="15"/>
      <c r="Q31" s="15"/>
      <c r="R31" s="15"/>
    </row>
    <row r="32" customFormat="false" ht="15" hidden="false" customHeight="false" outlineLevel="0" collapsed="false">
      <c r="A32" s="15"/>
      <c r="B32" s="15"/>
      <c r="C32" s="15"/>
      <c r="D32" s="15"/>
      <c r="E32" s="15"/>
      <c r="F32" s="15"/>
      <c r="G32" s="15"/>
      <c r="H32" s="15"/>
      <c r="I32" s="15"/>
      <c r="J32" s="19" t="str">
        <f aca="false">IF(I32="","",I32/INDEX(FX!$B$4:$B$7,MATCH(H32,FX!$A$4:$A$7,0)))</f>
        <v/>
      </c>
      <c r="K32" s="19" t="str">
        <f aca="false">IF(J32="","",J32*FX!$B$5/10)</f>
        <v/>
      </c>
      <c r="L32" s="9" t="str">
        <f aca="false">IF(B32="","",YEAR(B32))</f>
        <v/>
      </c>
      <c r="M32" s="15"/>
      <c r="N32" s="15"/>
      <c r="O32" s="15"/>
      <c r="P32" s="15"/>
      <c r="Q32" s="15"/>
      <c r="R32" s="15"/>
    </row>
    <row r="33" customFormat="false" ht="15" hidden="false" customHeight="false" outlineLevel="0" collapsed="false">
      <c r="A33" s="15"/>
      <c r="B33" s="15"/>
      <c r="C33" s="15"/>
      <c r="D33" s="15"/>
      <c r="E33" s="15"/>
      <c r="F33" s="15"/>
      <c r="G33" s="15"/>
      <c r="H33" s="15"/>
      <c r="I33" s="15"/>
      <c r="J33" s="19" t="str">
        <f aca="false">IF(I33="","",I33/INDEX(FX!$B$4:$B$7,MATCH(H33,FX!$A$4:$A$7,0)))</f>
        <v/>
      </c>
      <c r="K33" s="19" t="str">
        <f aca="false">IF(J33="","",J33*FX!$B$5/10)</f>
        <v/>
      </c>
      <c r="L33" s="9" t="str">
        <f aca="false">IF(B33="","",YEAR(B33))</f>
        <v/>
      </c>
      <c r="M33" s="15"/>
      <c r="N33" s="15"/>
      <c r="O33" s="15"/>
      <c r="P33" s="15"/>
      <c r="Q33" s="15"/>
      <c r="R33" s="15"/>
    </row>
    <row r="34" customFormat="false" ht="15" hidden="false" customHeight="false" outlineLevel="0" collapsed="false">
      <c r="A34" s="15"/>
      <c r="B34" s="15"/>
      <c r="C34" s="15"/>
      <c r="D34" s="15"/>
      <c r="E34" s="15"/>
      <c r="F34" s="15"/>
      <c r="G34" s="15"/>
      <c r="H34" s="15"/>
      <c r="I34" s="15"/>
      <c r="J34" s="19" t="str">
        <f aca="false">IF(I34="","",I34/INDEX(FX!$B$4:$B$7,MATCH(H34,FX!$A$4:$A$7,0)))</f>
        <v/>
      </c>
      <c r="K34" s="19" t="str">
        <f aca="false">IF(J34="","",J34*FX!$B$5/10)</f>
        <v/>
      </c>
      <c r="L34" s="9" t="str">
        <f aca="false">IF(B34="","",YEAR(B34))</f>
        <v/>
      </c>
      <c r="M34" s="15"/>
      <c r="N34" s="15"/>
      <c r="O34" s="15"/>
      <c r="P34" s="15"/>
      <c r="Q34" s="15"/>
      <c r="R34" s="15"/>
    </row>
    <row r="35" customFormat="false" ht="15" hidden="false" customHeight="false" outlineLevel="0" collapsed="false">
      <c r="A35" s="15"/>
      <c r="B35" s="15"/>
      <c r="C35" s="15"/>
      <c r="D35" s="15"/>
      <c r="E35" s="15"/>
      <c r="F35" s="15"/>
      <c r="G35" s="15"/>
      <c r="H35" s="15"/>
      <c r="I35" s="15"/>
      <c r="J35" s="19" t="str">
        <f aca="false">IF(I35="","",I35/INDEX(FX!$B$4:$B$7,MATCH(H35,FX!$A$4:$A$7,0)))</f>
        <v/>
      </c>
      <c r="K35" s="19" t="str">
        <f aca="false">IF(J35="","",J35*FX!$B$5/10)</f>
        <v/>
      </c>
      <c r="L35" s="9" t="str">
        <f aca="false">IF(B35="","",YEAR(B35))</f>
        <v/>
      </c>
      <c r="M35" s="15"/>
      <c r="N35" s="15"/>
      <c r="O35" s="15"/>
      <c r="P35" s="15"/>
      <c r="Q35" s="15"/>
      <c r="R35" s="15"/>
    </row>
    <row r="36" customFormat="false" ht="15" hidden="false" customHeight="false" outlineLevel="0" collapsed="false">
      <c r="A36" s="15"/>
      <c r="B36" s="15"/>
      <c r="C36" s="15"/>
      <c r="D36" s="15"/>
      <c r="E36" s="15"/>
      <c r="F36" s="15"/>
      <c r="G36" s="15"/>
      <c r="H36" s="15"/>
      <c r="I36" s="15"/>
      <c r="J36" s="19" t="str">
        <f aca="false">IF(I36="","",I36/INDEX(FX!$B$4:$B$7,MATCH(H36,FX!$A$4:$A$7,0)))</f>
        <v/>
      </c>
      <c r="K36" s="19" t="str">
        <f aca="false">IF(J36="","",J36*FX!$B$5/10)</f>
        <v/>
      </c>
      <c r="L36" s="9" t="str">
        <f aca="false">IF(B36="","",YEAR(B36))</f>
        <v/>
      </c>
      <c r="M36" s="15"/>
      <c r="N36" s="15"/>
      <c r="O36" s="15"/>
      <c r="P36" s="15"/>
      <c r="Q36" s="15"/>
      <c r="R36" s="15"/>
    </row>
    <row r="37" customFormat="false" ht="15" hidden="false" customHeight="false" outlineLevel="0" collapsed="false">
      <c r="A37" s="15"/>
      <c r="B37" s="15"/>
      <c r="C37" s="15"/>
      <c r="D37" s="15"/>
      <c r="E37" s="15"/>
      <c r="F37" s="15"/>
      <c r="G37" s="15"/>
      <c r="H37" s="15"/>
      <c r="I37" s="15"/>
      <c r="J37" s="19" t="str">
        <f aca="false">IF(I37="","",I37/INDEX(FX!$B$4:$B$7,MATCH(H37,FX!$A$4:$A$7,0)))</f>
        <v/>
      </c>
      <c r="K37" s="19" t="str">
        <f aca="false">IF(J37="","",J37*FX!$B$5/10)</f>
        <v/>
      </c>
      <c r="L37" s="9" t="str">
        <f aca="false">IF(B37="","",YEAR(B37))</f>
        <v/>
      </c>
      <c r="M37" s="15"/>
      <c r="N37" s="15"/>
      <c r="O37" s="15"/>
      <c r="P37" s="15"/>
      <c r="Q37" s="15"/>
      <c r="R37" s="15"/>
    </row>
    <row r="38" customFormat="false" ht="15" hidden="false" customHeight="false" outlineLevel="0" collapsed="false">
      <c r="A38" s="15"/>
      <c r="B38" s="15"/>
      <c r="C38" s="15"/>
      <c r="D38" s="15"/>
      <c r="E38" s="15"/>
      <c r="F38" s="15"/>
      <c r="G38" s="15"/>
      <c r="H38" s="15"/>
      <c r="I38" s="15"/>
      <c r="J38" s="19" t="str">
        <f aca="false">IF(I38="","",I38/INDEX(FX!$B$4:$B$7,MATCH(H38,FX!$A$4:$A$7,0)))</f>
        <v/>
      </c>
      <c r="K38" s="19" t="str">
        <f aca="false">IF(J38="","",J38*FX!$B$5/10)</f>
        <v/>
      </c>
      <c r="L38" s="9" t="str">
        <f aca="false">IF(B38="","",YEAR(B38))</f>
        <v/>
      </c>
      <c r="M38" s="15"/>
      <c r="N38" s="15"/>
      <c r="O38" s="15"/>
      <c r="P38" s="15"/>
      <c r="Q38" s="15"/>
      <c r="R38" s="15"/>
    </row>
    <row r="39" customFormat="false" ht="15" hidden="false" customHeight="false" outlineLevel="0" collapsed="false">
      <c r="A39" s="15"/>
      <c r="B39" s="15"/>
      <c r="C39" s="15"/>
      <c r="D39" s="15"/>
      <c r="E39" s="15"/>
      <c r="F39" s="15"/>
      <c r="G39" s="15"/>
      <c r="H39" s="15"/>
      <c r="I39" s="15"/>
      <c r="J39" s="19" t="str">
        <f aca="false">IF(I39="","",I39/INDEX(FX!$B$4:$B$7,MATCH(H39,FX!$A$4:$A$7,0)))</f>
        <v/>
      </c>
      <c r="K39" s="19" t="str">
        <f aca="false">IF(J39="","",J39*FX!$B$5/10)</f>
        <v/>
      </c>
      <c r="L39" s="9" t="str">
        <f aca="false">IF(B39="","",YEAR(B39))</f>
        <v/>
      </c>
      <c r="M39" s="15"/>
      <c r="N39" s="15"/>
      <c r="O39" s="15"/>
      <c r="P39" s="15"/>
      <c r="Q39" s="15"/>
      <c r="R39" s="15"/>
    </row>
    <row r="40" customFormat="false" ht="15" hidden="false" customHeight="false" outlineLevel="0" collapsed="false">
      <c r="A40" s="15"/>
      <c r="B40" s="15"/>
      <c r="C40" s="15"/>
      <c r="D40" s="15"/>
      <c r="E40" s="15"/>
      <c r="F40" s="15"/>
      <c r="G40" s="15"/>
      <c r="H40" s="15"/>
      <c r="I40" s="15"/>
      <c r="J40" s="19" t="str">
        <f aca="false">IF(I40="","",I40/INDEX(FX!$B$4:$B$7,MATCH(H40,FX!$A$4:$A$7,0)))</f>
        <v/>
      </c>
      <c r="K40" s="19" t="str">
        <f aca="false">IF(J40="","",J40*FX!$B$5/10)</f>
        <v/>
      </c>
      <c r="L40" s="9" t="str">
        <f aca="false">IF(B40="","",YEAR(B40))</f>
        <v/>
      </c>
      <c r="M40" s="15"/>
      <c r="N40" s="15"/>
      <c r="O40" s="15"/>
      <c r="P40" s="15"/>
      <c r="Q40" s="15"/>
      <c r="R40" s="15"/>
    </row>
    <row r="41" customFormat="false" ht="15" hidden="false" customHeight="false" outlineLevel="0" collapsed="false">
      <c r="A41" s="15"/>
      <c r="B41" s="15"/>
      <c r="C41" s="15"/>
      <c r="D41" s="15"/>
      <c r="E41" s="15"/>
      <c r="F41" s="15"/>
      <c r="G41" s="15"/>
      <c r="H41" s="15"/>
      <c r="I41" s="15"/>
      <c r="J41" s="19" t="str">
        <f aca="false">IF(I41="","",I41/INDEX(FX!$B$4:$B$7,MATCH(H41,FX!$A$4:$A$7,0)))</f>
        <v/>
      </c>
      <c r="K41" s="19" t="str">
        <f aca="false">IF(J41="","",J41*FX!$B$5/10)</f>
        <v/>
      </c>
      <c r="L41" s="9" t="str">
        <f aca="false">IF(B41="","",YEAR(B41))</f>
        <v/>
      </c>
      <c r="M41" s="15"/>
      <c r="N41" s="15"/>
      <c r="O41" s="15"/>
      <c r="P41" s="15"/>
      <c r="Q41" s="15"/>
      <c r="R41" s="15"/>
    </row>
  </sheetData>
  <autoFilter ref="A1:R41"/>
  <dataValidations count="5">
    <dataValidation allowBlank="true" errorStyle="stop" operator="between" showDropDown="false" showErrorMessage="false" showInputMessage="false" sqref="D2:D41" type="list">
      <formula1>"Sovereign,PSU NBFC,Bank,Corporate,Municipal"</formula1>
      <formula2>0</formula2>
    </dataValidation>
    <dataValidation allowBlank="true" errorStyle="stop" operator="between" showDropDown="false" showErrorMessage="false" showInputMessage="false" sqref="F2:F41" type="list">
      <formula1>"Green bond,ESG bond,Sustainability-linked bond,Green loan,Sustainability-linked loan"</formula1>
      <formula2>0</formula2>
    </dataValidation>
    <dataValidation allowBlank="true" errorStyle="stop" operator="between" showDropDown="false" showErrorMessage="false" showInputMessage="false" sqref="G2:G41" type="list">
      <formula1>"Confirmed,Unconfirmed"</formula1>
      <formula2>0</formula2>
    </dataValidation>
    <dataValidation allowBlank="true" errorStyle="stop" operator="between" showDropDown="false" showErrorMessage="false" showInputMessage="false" sqref="H2:H41" type="list">
      <formula1>"USD,INR,EUR,JPY"</formula1>
      <formula2>0</formula2>
    </dataValidation>
    <dataValidation allowBlank="true" errorStyle="stop" operator="between" showDropDown="false" showErrorMessage="false" showInputMessage="false" sqref="Q2:Q41" type="list">
      <formula1>"Priced,Signed,Devolved,Rejected,Scheduled"</formula1>
      <formula2>0</formula2>
    </dataValidation>
  </dataValidations>
  <hyperlinks>
    <hyperlink ref="R2" r:id="rId1" display="Link"/>
    <hyperlink ref="R3" r:id="rId2" display="Link"/>
    <hyperlink ref="R4" r:id="rId3" display="Link"/>
    <hyperlink ref="R5" r:id="rId4" display="Link"/>
    <hyperlink ref="R6" r:id="rId5" display="Link"/>
    <hyperlink ref="R7" r:id="rId6" display="Link"/>
    <hyperlink ref="R8" r:id="rId7" display="Link"/>
    <hyperlink ref="R9" r:id="rId8" display="Link"/>
    <hyperlink ref="R10" r:id="rId9" display="Link"/>
    <hyperlink ref="R11" r:id="rId10" display="Link"/>
    <hyperlink ref="R12" r:id="rId11" display="Link"/>
    <hyperlink ref="R13" r:id="rId12" display="Link"/>
    <hyperlink ref="R14" r:id="rId13" display="Link"/>
    <hyperlink ref="R15" r:id="rId14" display="Link"/>
    <hyperlink ref="R16" r:id="rId15" display="Link"/>
    <hyperlink ref="R17" r:id="rId16" display="Link"/>
    <hyperlink ref="R18" r:id="rId17" display="Link"/>
    <hyperlink ref="R19" r:id="rId18" display="Link"/>
    <hyperlink ref="R20" r:id="rId19" display="Link"/>
    <hyperlink ref="R21" r:id="rId20" display="Link"/>
    <hyperlink ref="R22" r:id="rId21" display="Link"/>
    <hyperlink ref="R23" r:id="rId22" display="Link"/>
    <hyperlink ref="R24" r:id="rId23" display="Link"/>
    <hyperlink ref="R25" r:id="rId24" display="Link"/>
    <hyperlink ref="R26" r:id="rId25" display="Lin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6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1" t="s">
        <v>179</v>
      </c>
    </row>
    <row r="2" customFormat="false" ht="15" hidden="false" customHeight="false" outlineLevel="0" collapsed="false">
      <c r="A2" s="2" t="s">
        <v>180</v>
      </c>
    </row>
    <row r="3" customFormat="false" ht="30" hidden="false" customHeight="true" outlineLevel="0" collapsed="false">
      <c r="A3" s="8" t="s">
        <v>32</v>
      </c>
      <c r="B3" s="8" t="s">
        <v>181</v>
      </c>
    </row>
    <row r="4" customFormat="false" ht="15" hidden="false" customHeight="false" outlineLevel="0" collapsed="false">
      <c r="A4" s="3" t="s">
        <v>56</v>
      </c>
      <c r="B4" s="20" t="n">
        <v>1</v>
      </c>
    </row>
    <row r="5" customFormat="false" ht="15" hidden="false" customHeight="false" outlineLevel="0" collapsed="false">
      <c r="A5" s="3" t="s">
        <v>46</v>
      </c>
      <c r="B5" s="20" t="n">
        <v>88</v>
      </c>
    </row>
    <row r="6" customFormat="false" ht="15" hidden="false" customHeight="false" outlineLevel="0" collapsed="false">
      <c r="A6" s="3" t="s">
        <v>71</v>
      </c>
      <c r="B6" s="20" t="n">
        <v>0.86</v>
      </c>
    </row>
    <row r="7" customFormat="false" ht="15" hidden="false" customHeight="false" outlineLevel="0" collapsed="false">
      <c r="A7" s="3" t="s">
        <v>86</v>
      </c>
      <c r="B7" s="20" t="n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12"/>
    <col collapsed="false" customWidth="true" hidden="false" outlineLevel="0" max="6" min="6" style="0" width="60"/>
    <col collapsed="false" customWidth="true" hidden="false" outlineLevel="0" max="7" min="7" style="0" width="10"/>
  </cols>
  <sheetData>
    <row r="1" customFormat="false" ht="17.35" hidden="false" customHeight="false" outlineLevel="0" collapsed="false">
      <c r="A1" s="1" t="s">
        <v>182</v>
      </c>
    </row>
    <row r="2" customFormat="false" ht="15" hidden="false" customHeight="false" outlineLevel="0" collapsed="false">
      <c r="A2" s="2" t="s">
        <v>183</v>
      </c>
    </row>
    <row r="4" customFormat="false" ht="30" hidden="false" customHeight="true" outlineLevel="0" collapsed="false">
      <c r="A4" s="8" t="s">
        <v>184</v>
      </c>
      <c r="B4" s="8" t="s">
        <v>185</v>
      </c>
      <c r="C4" s="8" t="s">
        <v>186</v>
      </c>
      <c r="D4" s="8" t="s">
        <v>187</v>
      </c>
      <c r="E4" s="8" t="s">
        <v>188</v>
      </c>
      <c r="F4" s="8" t="s">
        <v>189</v>
      </c>
      <c r="G4" s="8" t="s">
        <v>41</v>
      </c>
    </row>
    <row r="5" customFormat="false" ht="30" hidden="false" customHeight="true" outlineLevel="0" collapsed="false">
      <c r="A5" s="9" t="s">
        <v>190</v>
      </c>
      <c r="B5" s="21" t="s">
        <v>191</v>
      </c>
      <c r="C5" s="6" t="n">
        <v>8000</v>
      </c>
      <c r="D5" s="9" t="s">
        <v>192</v>
      </c>
      <c r="E5" s="22" t="n">
        <v>6</v>
      </c>
      <c r="F5" s="9" t="s">
        <v>193</v>
      </c>
      <c r="G5" s="18" t="s">
        <v>52</v>
      </c>
    </row>
    <row r="6" customFormat="false" ht="30" hidden="false" customHeight="true" outlineLevel="0" collapsed="false">
      <c r="A6" s="9" t="s">
        <v>194</v>
      </c>
      <c r="B6" s="21"/>
      <c r="C6" s="6" t="n">
        <v>6000</v>
      </c>
      <c r="D6" s="9" t="s">
        <v>195</v>
      </c>
      <c r="E6" s="22"/>
      <c r="F6" s="9" t="s">
        <v>196</v>
      </c>
      <c r="G6" s="18" t="s">
        <v>52</v>
      </c>
    </row>
    <row r="7" customFormat="false" ht="30" hidden="false" customHeight="true" outlineLevel="0" collapsed="false">
      <c r="A7" s="9" t="s">
        <v>197</v>
      </c>
      <c r="B7" s="21"/>
      <c r="C7" s="6" t="n">
        <v>6000</v>
      </c>
      <c r="D7" s="9" t="s">
        <v>198</v>
      </c>
      <c r="E7" s="22"/>
      <c r="F7" s="9" t="s">
        <v>199</v>
      </c>
      <c r="G7" s="18" t="s">
        <v>52</v>
      </c>
    </row>
    <row r="8" customFormat="false" ht="30" hidden="false" customHeight="true" outlineLevel="0" collapsed="false">
      <c r="A8" s="9" t="s">
        <v>200</v>
      </c>
      <c r="B8" s="21"/>
      <c r="C8" s="6" t="n">
        <v>5000</v>
      </c>
      <c r="D8" s="9" t="s">
        <v>201</v>
      </c>
      <c r="E8" s="22"/>
      <c r="F8" s="9" t="s">
        <v>202</v>
      </c>
      <c r="G8" s="18" t="s">
        <v>52</v>
      </c>
    </row>
    <row r="9" customFormat="false" ht="30" hidden="false" customHeight="true" outlineLevel="0" collapsed="false">
      <c r="A9" s="9" t="s">
        <v>203</v>
      </c>
      <c r="B9" s="21" t="s">
        <v>204</v>
      </c>
      <c r="C9" s="6"/>
      <c r="D9" s="9" t="s">
        <v>205</v>
      </c>
      <c r="E9" s="22"/>
      <c r="F9" s="9" t="s">
        <v>206</v>
      </c>
      <c r="G9" s="18" t="s">
        <v>52</v>
      </c>
    </row>
    <row r="10" customFormat="false" ht="30" hidden="false" customHeight="true" outlineLevel="0" collapsed="false">
      <c r="A10" s="9" t="s">
        <v>207</v>
      </c>
      <c r="B10" s="21" t="s">
        <v>208</v>
      </c>
      <c r="C10" s="6" t="n">
        <v>5000</v>
      </c>
      <c r="D10" s="9" t="s">
        <v>209</v>
      </c>
      <c r="E10" s="22"/>
      <c r="F10" s="9" t="s">
        <v>210</v>
      </c>
      <c r="G10" s="18" t="s">
        <v>52</v>
      </c>
    </row>
    <row r="11" customFormat="false" ht="30" hidden="false" customHeight="true" outlineLevel="0" collapsed="false">
      <c r="A11" s="9" t="s">
        <v>211</v>
      </c>
      <c r="B11" s="21" t="s">
        <v>208</v>
      </c>
      <c r="C11" s="6"/>
      <c r="D11" s="9" t="s">
        <v>212</v>
      </c>
      <c r="E11" s="22" t="n">
        <v>6</v>
      </c>
      <c r="F11" s="9" t="s">
        <v>213</v>
      </c>
      <c r="G11" s="18" t="s">
        <v>52</v>
      </c>
    </row>
    <row r="12" customFormat="false" ht="30" hidden="false" customHeight="true" outlineLevel="0" collapsed="false">
      <c r="A12" s="9" t="s">
        <v>214</v>
      </c>
      <c r="B12" s="21" t="s">
        <v>208</v>
      </c>
      <c r="C12" s="6" t="n">
        <v>5000</v>
      </c>
      <c r="D12" s="9" t="s">
        <v>215</v>
      </c>
      <c r="E12" s="22" t="n">
        <v>4</v>
      </c>
      <c r="F12" s="9" t="s">
        <v>216</v>
      </c>
      <c r="G12" s="18" t="s">
        <v>52</v>
      </c>
    </row>
    <row r="13" customFormat="false" ht="30" hidden="false" customHeight="true" outlineLevel="0" collapsed="false">
      <c r="A13" s="9" t="s">
        <v>217</v>
      </c>
      <c r="B13" s="21" t="s">
        <v>208</v>
      </c>
      <c r="C13" s="6" t="n">
        <v>15000</v>
      </c>
      <c r="D13" s="9" t="s">
        <v>218</v>
      </c>
      <c r="E13" s="22"/>
      <c r="F13" s="9" t="s">
        <v>219</v>
      </c>
      <c r="G13" s="18" t="s">
        <v>52</v>
      </c>
    </row>
    <row r="14" customFormat="false" ht="23.85" hidden="false" customHeight="false" outlineLevel="0" collapsed="false">
      <c r="D14" s="3" t="s">
        <v>220</v>
      </c>
      <c r="E14" s="23" t="n">
        <f aca="false">AVERAGE(E5:E13)</f>
        <v>5.33333333333333</v>
      </c>
    </row>
  </sheetData>
  <hyperlinks>
    <hyperlink ref="G5" r:id="rId1" display="Link"/>
    <hyperlink ref="G6" r:id="rId2" display="Link"/>
    <hyperlink ref="G7" r:id="rId3" display="Link"/>
    <hyperlink ref="G8" r:id="rId4" display="Link"/>
    <hyperlink ref="G9" r:id="rId5" display="Link"/>
    <hyperlink ref="G10" r:id="rId6" display="Link"/>
    <hyperlink ref="G11" r:id="rId7" display="Link"/>
    <hyperlink ref="G12" r:id="rId8" display="Link"/>
    <hyperlink ref="G13" r:id="rId9" display="Lin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24" t="s">
        <v>221</v>
      </c>
    </row>
    <row r="2" customFormat="false" ht="23.85" hidden="false" customHeight="false" outlineLevel="0" collapsed="false">
      <c r="A2" s="25" t="s">
        <v>222</v>
      </c>
    </row>
    <row r="3" customFormat="false" ht="23.85" hidden="false" customHeight="false" outlineLevel="0" collapsed="false">
      <c r="A3" s="25" t="s">
        <v>223</v>
      </c>
    </row>
    <row r="4" customFormat="false" ht="15" hidden="false" customHeight="false" outlineLevel="0" collapsed="false">
      <c r="A4" s="25" t="s">
        <v>224</v>
      </c>
    </row>
    <row r="5" customFormat="false" ht="23.85" hidden="false" customHeight="false" outlineLevel="0" collapsed="false">
      <c r="A5" s="25" t="s">
        <v>225</v>
      </c>
    </row>
    <row r="6" customFormat="false" ht="15" hidden="false" customHeight="false" outlineLevel="0" collapsed="false">
      <c r="A6" s="25" t="s">
        <v>226</v>
      </c>
    </row>
    <row r="7" customFormat="false" ht="23.85" hidden="false" customHeight="false" outlineLevel="0" collapsed="false">
      <c r="A7" s="25" t="s">
        <v>227</v>
      </c>
    </row>
    <row r="8" customFormat="false" ht="15" hidden="false" customHeight="false" outlineLevel="0" collapsed="false">
      <c r="A8" s="25"/>
    </row>
    <row r="9" customFormat="false" ht="15" hidden="false" customHeight="false" outlineLevel="0" collapsed="false">
      <c r="A9" s="26" t="s">
        <v>228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2026-10-21T11:45:39Z</dcterms:created>
  <dc:creator>openpyxl</dc:creator>
  <dc:description/>
  <dc:language>en-US</dc:language>
  <cp:lastModifiedBy/>
  <dcterms:modified xsi:type="dcterms:W3CDTF">2026-10-21T11:45:41Z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